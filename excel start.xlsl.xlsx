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tables/table1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e9a788f70f2a639c/Desktop/EXCEL LEARN/"/>
    </mc:Choice>
  </mc:AlternateContent>
  <xr:revisionPtr revIDLastSave="186" documentId="13_ncr:1_{429F0E7E-F10B-40F7-8600-2704DBEFB208}" xr6:coauthVersionLast="47" xr6:coauthVersionMax="47" xr10:uidLastSave="{926B1382-03E2-46ED-B691-E07C79C91A37}"/>
  <bookViews>
    <workbookView xWindow="-108" yWindow="-108" windowWidth="23256" windowHeight="13896" tabRatio="1000" firstSheet="14" activeTab="17" xr2:uid="{5BE660B0-A105-4C48-AB78-B578E47FA759}"/>
  </bookViews>
  <sheets>
    <sheet name="intro vedio 1" sheetId="1" r:id="rId1"/>
    <sheet name="cellreference, v2" sheetId="2" r:id="rId2"/>
    <sheet name="Add Leading Zeros, v3" sheetId="3" r:id="rId3"/>
    <sheet name="separate first name and last na" sheetId="5" r:id="rId4"/>
    <sheet name="Textjoint func ,v4" sheetId="6" r:id="rId5"/>
    <sheet name="Basic func ,v5" sheetId="7" r:id="rId6"/>
    <sheet name="Average func,v6" sheetId="8" r:id="rId7"/>
    <sheet name="Drop Down List,v7" sheetId="9" r:id="rId8"/>
    <sheet name="Conditional Formatting,v8" sheetId="10" r:id="rId9"/>
    <sheet name="advance Filter ,v11" sheetId="11" r:id="rId10"/>
    <sheet name="Data Validation,v12" sheetId="12" r:id="rId11"/>
    <sheet name="Chart,v13" sheetId="13" r:id="rId12"/>
    <sheet name="recommanded pivot table" sheetId="19" r:id="rId13"/>
    <sheet name="pivot table,v14" sheetId="18" r:id="rId14"/>
    <sheet name="small &amp; large func,v17" sheetId="20" r:id="rId15"/>
    <sheet name="countif,v18" sheetId="21" r:id="rId16"/>
    <sheet name="VLOOKUP&amp;HLOOKUP,V19" sheetId="22" r:id="rId17"/>
    <sheet name="dash priv table" sheetId="26" r:id="rId18"/>
    <sheet name="DASHBOARD" sheetId="28" r:id="rId19"/>
    <sheet name="try dashboard" sheetId="24" r:id="rId20"/>
  </sheets>
  <definedNames>
    <definedName name="ExternalData_1" localSheetId="2" hidden="1">'Add Leading Zeros, v3'!$G$1:$G$8</definedName>
    <definedName name="Slicer_PRODUCT">#N/A</definedName>
    <definedName name="Slicer_REGION">#N/A</definedName>
    <definedName name="Slicer_SALES_PERSON">#N/A</definedName>
  </definedNames>
  <calcPr calcId="191029"/>
  <pivotCaches>
    <pivotCache cacheId="0" r:id="rId21"/>
    <pivotCache cacheId="1" r:id="rId22"/>
    <pivotCache cacheId="2" r:id="rId23"/>
  </pivotCaches>
  <extLst>
    <ext xmlns:x14="http://schemas.microsoft.com/office/spreadsheetml/2009/9/main" uri="{BBE1A952-AA13-448e-AADC-164F8A28A991}">
      <x14:slicerCaches>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 i="24" l="1"/>
  <c r="K4" i="24"/>
  <c r="K2" i="24"/>
  <c r="I3" i="24"/>
  <c r="I4" i="24"/>
  <c r="I5" i="24"/>
  <c r="I6" i="24"/>
  <c r="K6" i="24" s="1"/>
  <c r="I7" i="24"/>
  <c r="I8" i="24"/>
  <c r="I9" i="24"/>
  <c r="I10" i="24"/>
  <c r="I11" i="24"/>
  <c r="I12" i="24"/>
  <c r="I13" i="24"/>
  <c r="I14" i="24"/>
  <c r="I15" i="24"/>
  <c r="I16" i="24"/>
  <c r="I17" i="24"/>
  <c r="I18" i="24"/>
  <c r="I19" i="24"/>
  <c r="I20" i="24"/>
  <c r="I21" i="24"/>
  <c r="I22" i="24"/>
  <c r="I2" i="24"/>
  <c r="E4" i="1"/>
  <c r="E3" i="2"/>
  <c r="F3" i="2" s="1"/>
  <c r="E4" i="2"/>
  <c r="F4" i="2" s="1"/>
  <c r="E5" i="2"/>
  <c r="F5" i="2" s="1"/>
  <c r="E6" i="2"/>
  <c r="F6" i="2" s="1"/>
  <c r="E7" i="2"/>
  <c r="F7" i="2"/>
  <c r="E8" i="2"/>
  <c r="F8" i="2"/>
  <c r="E9" i="2"/>
  <c r="F9" i="2" s="1"/>
  <c r="E10" i="2"/>
  <c r="F10" i="2" s="1"/>
  <c r="E11" i="2"/>
  <c r="F11" i="2" s="1"/>
  <c r="E12" i="2"/>
  <c r="F12" i="2" s="1"/>
  <c r="E13" i="2"/>
  <c r="F13" i="2" s="1"/>
  <c r="N1" i="22"/>
  <c r="N2" i="22"/>
  <c r="H6" i="22"/>
  <c r="AI10" i="21"/>
  <c r="AI11" i="21"/>
  <c r="AI12" i="21"/>
  <c r="AI13" i="21"/>
  <c r="AI14" i="21"/>
  <c r="AI9" i="21"/>
  <c r="AH10" i="21"/>
  <c r="AH11" i="21"/>
  <c r="AH12" i="21"/>
  <c r="AH13" i="21"/>
  <c r="AH14" i="21"/>
  <c r="AH9" i="21"/>
  <c r="K5" i="21"/>
  <c r="K3" i="21"/>
  <c r="E3" i="20" a="1"/>
  <c r="E3" i="20" s="1"/>
  <c r="D4" i="20"/>
  <c r="D5" i="20"/>
  <c r="D6" i="20"/>
  <c r="D7" i="20"/>
  <c r="D8" i="20"/>
  <c r="D9" i="20"/>
  <c r="D10" i="20"/>
  <c r="D11" i="20"/>
  <c r="D12" i="20"/>
  <c r="D13" i="20"/>
  <c r="D14" i="20"/>
  <c r="D15" i="20"/>
  <c r="D16" i="20"/>
  <c r="D3" i="20"/>
  <c r="M2" i="11"/>
  <c r="M5" i="11"/>
  <c r="M4" i="11"/>
  <c r="M10" i="11"/>
  <c r="M3" i="11"/>
  <c r="M12" i="11"/>
  <c r="M6" i="11"/>
  <c r="M9" i="11"/>
  <c r="M7" i="11"/>
  <c r="M11" i="11"/>
  <c r="M8" i="11"/>
  <c r="L9" i="11"/>
  <c r="J4" i="10"/>
  <c r="J5" i="10"/>
  <c r="J6" i="10"/>
  <c r="J7" i="10"/>
  <c r="H6" i="10"/>
  <c r="J3" i="10"/>
  <c r="J11" i="11"/>
  <c r="J7" i="11"/>
  <c r="J9" i="11"/>
  <c r="J6" i="11"/>
  <c r="J12" i="11"/>
  <c r="J3" i="11"/>
  <c r="J10" i="11"/>
  <c r="J4" i="11"/>
  <c r="J5" i="11"/>
  <c r="J2" i="11"/>
  <c r="J8" i="11"/>
  <c r="I9" i="11"/>
  <c r="I10" i="11"/>
  <c r="I4" i="11"/>
  <c r="H11" i="11"/>
  <c r="I11" i="11" s="1"/>
  <c r="H7" i="11"/>
  <c r="L7" i="11" s="1"/>
  <c r="H6" i="11"/>
  <c r="L6" i="11" s="1"/>
  <c r="H12" i="11"/>
  <c r="L12" i="11" s="1"/>
  <c r="H3" i="11"/>
  <c r="I3" i="11" s="1"/>
  <c r="H10" i="11"/>
  <c r="H4" i="11"/>
  <c r="L4" i="11" s="1"/>
  <c r="H5" i="11"/>
  <c r="I5" i="11" s="1"/>
  <c r="H2" i="11"/>
  <c r="I2" i="11" s="1"/>
  <c r="H8" i="11"/>
  <c r="I8" i="11" s="1"/>
  <c r="H7" i="10"/>
  <c r="H5" i="10"/>
  <c r="H3" i="10"/>
  <c r="H4" i="10"/>
  <c r="E4" i="8"/>
  <c r="E5" i="8"/>
  <c r="E6" i="8"/>
  <c r="E7" i="8"/>
  <c r="E8" i="8"/>
  <c r="E9" i="8"/>
  <c r="E10" i="8"/>
  <c r="E11" i="8"/>
  <c r="E12" i="8"/>
  <c r="E13" i="8"/>
  <c r="E14" i="8"/>
  <c r="E3" i="8"/>
  <c r="I2" i="8"/>
  <c r="G5" i="8"/>
  <c r="G6" i="8"/>
  <c r="G7" i="8"/>
  <c r="G8" i="8"/>
  <c r="G9" i="8"/>
  <c r="G10" i="8"/>
  <c r="G11" i="8"/>
  <c r="G12" i="8"/>
  <c r="G13" i="8"/>
  <c r="G14" i="8"/>
  <c r="F16" i="8"/>
  <c r="G16" i="8"/>
  <c r="G4" i="8"/>
  <c r="F5" i="8"/>
  <c r="F6" i="8"/>
  <c r="F4" i="8"/>
  <c r="B5" i="7"/>
  <c r="B4" i="7"/>
  <c r="B3" i="7"/>
  <c r="B2" i="7"/>
  <c r="D3" i="6"/>
  <c r="D4" i="6"/>
  <c r="D5" i="6"/>
  <c r="D6" i="6"/>
  <c r="D7" i="6"/>
  <c r="D8" i="6"/>
  <c r="D9" i="6"/>
  <c r="D10" i="6"/>
  <c r="D2" i="6"/>
  <c r="C3" i="3"/>
  <c r="C4" i="3"/>
  <c r="C5" i="3"/>
  <c r="C6" i="3"/>
  <c r="C7" i="3"/>
  <c r="C8" i="3"/>
  <c r="C2" i="3"/>
  <c r="C16" i="2"/>
  <c r="D16" i="2"/>
  <c r="E16" i="2"/>
  <c r="F16" i="2"/>
  <c r="G16" i="2"/>
  <c r="C17" i="2"/>
  <c r="D17" i="2"/>
  <c r="E17" i="2"/>
  <c r="F17" i="2"/>
  <c r="G17" i="2"/>
  <c r="C18" i="2"/>
  <c r="D18" i="2"/>
  <c r="E18" i="2"/>
  <c r="F18" i="2"/>
  <c r="G18" i="2"/>
  <c r="C19" i="2"/>
  <c r="D19" i="2"/>
  <c r="E19" i="2"/>
  <c r="F19" i="2"/>
  <c r="G19" i="2"/>
  <c r="D15" i="2"/>
  <c r="E15" i="2"/>
  <c r="F15" i="2"/>
  <c r="G15" i="2"/>
  <c r="C15" i="2"/>
  <c r="E2" i="1"/>
  <c r="E3" i="1"/>
  <c r="I12" i="11" l="1"/>
  <c r="I6" i="11"/>
  <c r="L11" i="11"/>
  <c r="E5" i="1"/>
  <c r="E6" i="1" s="1"/>
  <c r="I7" i="10"/>
  <c r="L7" i="10" s="1"/>
  <c r="K3" i="10"/>
  <c r="I3" i="10"/>
  <c r="L3" i="10" s="1"/>
  <c r="E9" i="20" a="1"/>
  <c r="E9" i="20" s="1"/>
  <c r="K5" i="11"/>
  <c r="K3" i="11"/>
  <c r="L3" i="11"/>
  <c r="K2" i="11"/>
  <c r="L8" i="11"/>
  <c r="K4" i="11"/>
  <c r="L2" i="11"/>
  <c r="K10" i="11"/>
  <c r="L5" i="11"/>
  <c r="L10" i="11"/>
  <c r="K12" i="11"/>
  <c r="K8" i="11"/>
  <c r="K11" i="11"/>
  <c r="I7" i="11"/>
  <c r="K9" i="11"/>
  <c r="K7" i="11"/>
  <c r="K6" i="11"/>
  <c r="K5" i="10"/>
  <c r="K7" i="10"/>
  <c r="K6" i="10"/>
  <c r="K4" i="10"/>
  <c r="I6" i="10"/>
  <c r="L6" i="10" s="1"/>
  <c r="I5" i="10"/>
  <c r="L5" i="10" s="1"/>
  <c r="I4" i="10"/>
  <c r="L4" i="10" s="1"/>
  <c r="F7" i="8"/>
  <c r="F14" i="8"/>
  <c r="F13" i="8"/>
  <c r="F12" i="8"/>
  <c r="F11" i="8"/>
  <c r="F10" i="8"/>
  <c r="F9" i="8"/>
  <c r="F8" i="8"/>
  <c r="M15" i="22"/>
  <c r="N15" i="22" s="1"/>
  <c r="M7" i="22"/>
  <c r="N7" i="22" s="1"/>
  <c r="M14" i="22"/>
  <c r="N14" i="22" s="1"/>
  <c r="M3" i="22"/>
  <c r="N3" i="22" s="1"/>
  <c r="M5" i="22"/>
  <c r="N5" i="22" s="1"/>
  <c r="M16" i="22"/>
  <c r="N16" i="22" s="1"/>
  <c r="M6" i="22"/>
  <c r="N6" i="22" s="1"/>
  <c r="M8" i="22"/>
  <c r="N8" i="22" s="1"/>
  <c r="M9" i="22"/>
  <c r="N9" i="22" s="1"/>
  <c r="M10" i="22"/>
  <c r="N10" i="22" s="1"/>
  <c r="M11" i="22"/>
  <c r="N11" i="22" s="1"/>
  <c r="M12" i="22"/>
  <c r="N12" i="22" s="1"/>
  <c r="I4" i="22"/>
  <c r="N4" i="22" s="1"/>
  <c r="M13" i="22"/>
  <c r="N13" i="2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005539-B501-4D61-9E1C-A9DC94F64602}"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65C3A2F1-D8BC-436A-BC15-BC85471C373E}"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<sst xmlns="http://schemas.openxmlformats.org/spreadsheetml/2006/main" count="834" uniqueCount="346">
  <si>
    <t>NAME</t>
  </si>
  <si>
    <t>ITEMS</t>
  </si>
  <si>
    <t>RATE</t>
  </si>
  <si>
    <t>QUANTITY</t>
  </si>
  <si>
    <t>AMOUNT</t>
  </si>
  <si>
    <t>shankar</t>
  </si>
  <si>
    <t>Rice</t>
  </si>
  <si>
    <t>vicky</t>
  </si>
  <si>
    <t>sampu</t>
  </si>
  <si>
    <t>sanjay</t>
  </si>
  <si>
    <t>soap</t>
  </si>
  <si>
    <t xml:space="preserve">TOTAL </t>
  </si>
  <si>
    <t>AVAREAGA</t>
  </si>
  <si>
    <t>Product ID</t>
  </si>
  <si>
    <t>Product</t>
  </si>
  <si>
    <t>Quanitity</t>
  </si>
  <si>
    <t>Rate</t>
  </si>
  <si>
    <t>Amount</t>
  </si>
  <si>
    <t>Sales Tax</t>
  </si>
  <si>
    <t>Tax</t>
  </si>
  <si>
    <t>Green Gram</t>
  </si>
  <si>
    <t>salt</t>
  </si>
  <si>
    <t>Oil</t>
  </si>
  <si>
    <t>Sugar</t>
  </si>
  <si>
    <t>power</t>
  </si>
  <si>
    <t>chill</t>
  </si>
  <si>
    <t>Tooth Paste</t>
  </si>
  <si>
    <t>whilte</t>
  </si>
  <si>
    <t>white sugar</t>
  </si>
  <si>
    <t>water</t>
  </si>
  <si>
    <t>Mixed</t>
  </si>
  <si>
    <t>Formatting</t>
  </si>
  <si>
    <t>Text Function</t>
  </si>
  <si>
    <t>Punctuation Mark ["]</t>
  </si>
  <si>
    <t>Text Formatting</t>
  </si>
  <si>
    <t>Power Query</t>
  </si>
  <si>
    <t>D54</t>
  </si>
  <si>
    <t>345DD5</t>
  </si>
  <si>
    <t>98G7</t>
  </si>
  <si>
    <t>F763</t>
  </si>
  <si>
    <t>D45</t>
  </si>
  <si>
    <t>65T677</t>
  </si>
  <si>
    <t>55T78G</t>
  </si>
  <si>
    <t>G57H</t>
  </si>
  <si>
    <t>D88</t>
  </si>
  <si>
    <t>3D3R4</t>
  </si>
  <si>
    <t>98HS6</t>
  </si>
  <si>
    <t>672Y</t>
  </si>
  <si>
    <t>0012</t>
  </si>
  <si>
    <t>9945</t>
  </si>
  <si>
    <t>0067</t>
  </si>
  <si>
    <t>000675</t>
  </si>
  <si>
    <t>000345</t>
  </si>
  <si>
    <t>00066</t>
  </si>
  <si>
    <t>9'78</t>
  </si>
  <si>
    <t>Student Name</t>
  </si>
  <si>
    <t>First name</t>
  </si>
  <si>
    <t>Last name</t>
  </si>
  <si>
    <t>shankar p</t>
  </si>
  <si>
    <t>vicky m</t>
  </si>
  <si>
    <t>sanjay kannan</t>
  </si>
  <si>
    <t>rama samy</t>
  </si>
  <si>
    <t>sudharsan m</t>
  </si>
  <si>
    <t>perumal</t>
  </si>
  <si>
    <t>vikram</t>
  </si>
  <si>
    <t>gokul</t>
  </si>
  <si>
    <t>thilip kumar</t>
  </si>
  <si>
    <t>gokul N</t>
  </si>
  <si>
    <t>vikram D</t>
  </si>
  <si>
    <t>perumal sri</t>
  </si>
  <si>
    <t>rama</t>
  </si>
  <si>
    <t>sudharsan</t>
  </si>
  <si>
    <t>thilip</t>
  </si>
  <si>
    <t>p</t>
  </si>
  <si>
    <t>m</t>
  </si>
  <si>
    <t>kannan</t>
  </si>
  <si>
    <t>samy</t>
  </si>
  <si>
    <t>sri</t>
  </si>
  <si>
    <t>D</t>
  </si>
  <si>
    <t>N</t>
  </si>
  <si>
    <t>kumar</t>
  </si>
  <si>
    <t>Title</t>
  </si>
  <si>
    <t>First Name</t>
  </si>
  <si>
    <t>Last Name</t>
  </si>
  <si>
    <t>Email ID</t>
  </si>
  <si>
    <t>Mr.</t>
  </si>
  <si>
    <t>Ram</t>
  </si>
  <si>
    <t>Thilip</t>
  </si>
  <si>
    <t>sha</t>
  </si>
  <si>
    <t>madhra</t>
  </si>
  <si>
    <t>jiraya</t>
  </si>
  <si>
    <t>maila</t>
  </si>
  <si>
    <t>intern</t>
  </si>
  <si>
    <t>mecanik</t>
  </si>
  <si>
    <t>hyper</t>
  </si>
  <si>
    <t>Employe Name</t>
  </si>
  <si>
    <t>shankarsha@gmail.com</t>
  </si>
  <si>
    <t>vickymadhra@gmail.com</t>
  </si>
  <si>
    <t>sanjayjiraya@gmail.com</t>
  </si>
  <si>
    <t>perumalmaila@gmail.com</t>
  </si>
  <si>
    <t>gokulintern@gmail.com</t>
  </si>
  <si>
    <t>Rammecanik@gmail.com</t>
  </si>
  <si>
    <t>sudharsanhyper@gmail.com</t>
  </si>
  <si>
    <t>vikram@gmail.com</t>
  </si>
  <si>
    <t>Thilipkumar@gmail.com</t>
  </si>
  <si>
    <t>Truncate</t>
  </si>
  <si>
    <t>Round</t>
  </si>
  <si>
    <t>curent date &amp;time,=  (now)formula</t>
  </si>
  <si>
    <t>max(</t>
  </si>
  <si>
    <t>min</t>
  </si>
  <si>
    <t>miedian</t>
  </si>
  <si>
    <t>count</t>
  </si>
  <si>
    <t>sum</t>
  </si>
  <si>
    <t>average</t>
  </si>
  <si>
    <t xml:space="preserve">isnumber ,trur or false </t>
  </si>
  <si>
    <t>EM NO</t>
  </si>
  <si>
    <t>Emp Name</t>
  </si>
  <si>
    <t>Month</t>
  </si>
  <si>
    <t>Sales</t>
  </si>
  <si>
    <t>Average  Sales for the year</t>
  </si>
  <si>
    <t>Averagea</t>
  </si>
  <si>
    <t xml:space="preserve">Average  </t>
  </si>
  <si>
    <t>Shankar</t>
  </si>
  <si>
    <t>ram</t>
  </si>
  <si>
    <t>sudha</t>
  </si>
  <si>
    <t>gokuul</t>
  </si>
  <si>
    <t>kubran</t>
  </si>
  <si>
    <t>vijay</t>
  </si>
  <si>
    <t>aajith</t>
  </si>
  <si>
    <t>kamal</t>
  </si>
  <si>
    <t>january</t>
  </si>
  <si>
    <t>february</t>
  </si>
  <si>
    <t>march</t>
  </si>
  <si>
    <t>april</t>
  </si>
  <si>
    <t>may</t>
  </si>
  <si>
    <t>june</t>
  </si>
  <si>
    <t>july</t>
  </si>
  <si>
    <t>august</t>
  </si>
  <si>
    <t>september</t>
  </si>
  <si>
    <t>october</t>
  </si>
  <si>
    <t>november</t>
  </si>
  <si>
    <t>december</t>
  </si>
  <si>
    <t>NO Data</t>
  </si>
  <si>
    <t>MODULE</t>
  </si>
  <si>
    <t>BRAND</t>
  </si>
  <si>
    <t>Glanza</t>
  </si>
  <si>
    <t>innova</t>
  </si>
  <si>
    <t>solu</t>
  </si>
  <si>
    <t>brezza</t>
  </si>
  <si>
    <t>Dzire</t>
  </si>
  <si>
    <t>Swift</t>
  </si>
  <si>
    <t>Seltos</t>
  </si>
  <si>
    <t>Fotuner</t>
  </si>
  <si>
    <t>Sorento</t>
  </si>
  <si>
    <t>kia</t>
  </si>
  <si>
    <t>BRANDS</t>
  </si>
  <si>
    <t>maruthi suzuki</t>
  </si>
  <si>
    <t>STATUS</t>
  </si>
  <si>
    <t>STATUS TABLE LIST</t>
  </si>
  <si>
    <t>Good in</t>
  </si>
  <si>
    <t>poor in</t>
  </si>
  <si>
    <t>very Good</t>
  </si>
  <si>
    <t>bad</t>
  </si>
  <si>
    <t>fun guy</t>
  </si>
  <si>
    <t>ROLL NO</t>
  </si>
  <si>
    <t>STUDENT NAME</t>
  </si>
  <si>
    <t>TAMIL</t>
  </si>
  <si>
    <t>ENGLISH</t>
  </si>
  <si>
    <t>SCIENCE</t>
  </si>
  <si>
    <t>SOCIAL</t>
  </si>
  <si>
    <t>TOTAL</t>
  </si>
  <si>
    <t>AVERAGE</t>
  </si>
  <si>
    <t>RESULT</t>
  </si>
  <si>
    <t>RANK</t>
  </si>
  <si>
    <t>GRADE</t>
  </si>
  <si>
    <t>PROGRESS</t>
  </si>
  <si>
    <t>MATHS</t>
  </si>
  <si>
    <t>SUBJECTS</t>
  </si>
  <si>
    <t>Vicky</t>
  </si>
  <si>
    <t xml:space="preserve"> </t>
  </si>
  <si>
    <t>Roll  No</t>
  </si>
  <si>
    <t>student Name</t>
  </si>
  <si>
    <t>Tamil</t>
  </si>
  <si>
    <t>English</t>
  </si>
  <si>
    <t>maths</t>
  </si>
  <si>
    <t>science</t>
  </si>
  <si>
    <t>social</t>
  </si>
  <si>
    <t>Total</t>
  </si>
  <si>
    <t>Average</t>
  </si>
  <si>
    <t>Rusult</t>
  </si>
  <si>
    <t>Rank</t>
  </si>
  <si>
    <t>Grad</t>
  </si>
  <si>
    <t>Mark issued</t>
  </si>
  <si>
    <t>madhan</t>
  </si>
  <si>
    <t>arujun</t>
  </si>
  <si>
    <t>STUDENT DATA</t>
  </si>
  <si>
    <t>STUDENT ID</t>
  </si>
  <si>
    <t>DATE OF JION</t>
  </si>
  <si>
    <t>COURSE</t>
  </si>
  <si>
    <t>DECIMAL</t>
  </si>
  <si>
    <t>TIME</t>
  </si>
  <si>
    <t>SHHNAKAR</t>
  </si>
  <si>
    <t>EEE</t>
  </si>
  <si>
    <t>Company</t>
  </si>
  <si>
    <t>Purchase</t>
  </si>
  <si>
    <t>MRF</t>
  </si>
  <si>
    <t>CEAT</t>
  </si>
  <si>
    <t>TVS</t>
  </si>
  <si>
    <t>APOLLO</t>
  </si>
  <si>
    <t>BRIDGESTONE</t>
  </si>
  <si>
    <t xml:space="preserve"> next video sparkline ithu</t>
  </si>
  <si>
    <t>SALESPERSON</t>
  </si>
  <si>
    <t>REGION</t>
  </si>
  <si>
    <t>TOTAL SALES</t>
  </si>
  <si>
    <t>East</t>
  </si>
  <si>
    <t>North</t>
  </si>
  <si>
    <t>South</t>
  </si>
  <si>
    <t>Row Labels</t>
  </si>
  <si>
    <t>Grand Total</t>
  </si>
  <si>
    <t>Sum of TOTAL SALES</t>
  </si>
  <si>
    <t>ORDERS</t>
  </si>
  <si>
    <t>weat</t>
  </si>
  <si>
    <t>Column Labels</t>
  </si>
  <si>
    <t>Total Sum of TOTAL SALES</t>
  </si>
  <si>
    <t>Total Sum of ORDERS</t>
  </si>
  <si>
    <t>Sum of ORDERS</t>
  </si>
  <si>
    <t>JANUARY</t>
  </si>
  <si>
    <t>FEBRUARY</t>
  </si>
  <si>
    <t>MARCH</t>
  </si>
  <si>
    <t>SMALL SALES</t>
  </si>
  <si>
    <t>LARGEST SALES</t>
  </si>
  <si>
    <t>EM Code</t>
  </si>
  <si>
    <t>EM Name</t>
  </si>
  <si>
    <t>Designaction</t>
  </si>
  <si>
    <t>EK001</t>
  </si>
  <si>
    <t>EK002</t>
  </si>
  <si>
    <t>EK003</t>
  </si>
  <si>
    <t>EK004</t>
  </si>
  <si>
    <t>EK005</t>
  </si>
  <si>
    <t>EK006</t>
  </si>
  <si>
    <t>Manager</t>
  </si>
  <si>
    <t>Asst Manager</t>
  </si>
  <si>
    <t>staff</t>
  </si>
  <si>
    <t>A</t>
  </si>
  <si>
    <t>P</t>
  </si>
  <si>
    <t>S</t>
  </si>
  <si>
    <t>Presend Days</t>
  </si>
  <si>
    <t>Absent Days</t>
  </si>
  <si>
    <t>EM Coode</t>
  </si>
  <si>
    <t>Dzesignation</t>
  </si>
  <si>
    <t>Basic Salary</t>
  </si>
  <si>
    <t>naren</t>
  </si>
  <si>
    <t>tharun</t>
  </si>
  <si>
    <t>Gokul</t>
  </si>
  <si>
    <t>nirmal</t>
  </si>
  <si>
    <t>sarath</t>
  </si>
  <si>
    <t>kureasi</t>
  </si>
  <si>
    <t>EKOO101</t>
  </si>
  <si>
    <t>EKOO102</t>
  </si>
  <si>
    <t>EKOO103</t>
  </si>
  <si>
    <t>EKOO104</t>
  </si>
  <si>
    <t>EKOO105</t>
  </si>
  <si>
    <t>EKOO106</t>
  </si>
  <si>
    <t>EKOO107</t>
  </si>
  <si>
    <t>EKOO108</t>
  </si>
  <si>
    <t>EKOO109</t>
  </si>
  <si>
    <t>EKOO110</t>
  </si>
  <si>
    <t>EKOO111</t>
  </si>
  <si>
    <t>EKOO112</t>
  </si>
  <si>
    <t>EKOO113</t>
  </si>
  <si>
    <t>EKOO114</t>
  </si>
  <si>
    <t>asst manager</t>
  </si>
  <si>
    <t>What is the salary of?</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</si>
  <si>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</si>
  <si>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</si>
  <si>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</si>
  <si>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</si>
  <si>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</si>
  <si>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</si>
  <si>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</si>
  <si>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</si>
  <si>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</si>
  <si>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</si>
  <si>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</si>
  <si>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</si>
  <si>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</si>
  <si>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</si>
  <si>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</si>
  <si>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</si>
  <si>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</si>
  <si>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</si>
  <si>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</si>
  <si>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</si>
  <si>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</si>
  <si>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</si>
  <si>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</si>
  <si>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</si>
  <si>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</si>
  <si>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</si>
  <si>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</si>
  <si>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</si>
  <si>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</si>
  <si>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</si>
  <si>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</si>
  <si>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</si>
  <si>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</si>
  <si>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</si>
  <si>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</si>
  <si>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APRIL</t>
  </si>
  <si>
    <t>19:35
ff</t>
  </si>
  <si>
    <t>DATA</t>
  </si>
  <si>
    <t>SALES PERSON</t>
  </si>
  <si>
    <t>PRODUCT</t>
  </si>
  <si>
    <t>UNITS SOLD</t>
  </si>
  <si>
    <t xml:space="preserve">UNIT PRICE </t>
  </si>
  <si>
    <t>COST OF GOODS</t>
  </si>
  <si>
    <t>dhil</t>
  </si>
  <si>
    <t>suriya</t>
  </si>
  <si>
    <t>madhavan</t>
  </si>
  <si>
    <t>kali</t>
  </si>
  <si>
    <t>rajini</t>
  </si>
  <si>
    <t>rani</t>
  </si>
  <si>
    <t>raga</t>
  </si>
  <si>
    <t>roman</t>
  </si>
  <si>
    <t>regions</t>
  </si>
  <si>
    <t>villan</t>
  </si>
  <si>
    <t>hero</t>
  </si>
  <si>
    <t>NORTH</t>
  </si>
  <si>
    <t>SOUTH</t>
  </si>
  <si>
    <t>EAST</t>
  </si>
  <si>
    <t>WEST</t>
  </si>
  <si>
    <t>tent</t>
  </si>
  <si>
    <t>blender</t>
  </si>
  <si>
    <t>action figure</t>
  </si>
  <si>
    <t>novel</t>
  </si>
  <si>
    <t>sneakers</t>
  </si>
  <si>
    <t>oill</t>
  </si>
  <si>
    <t>sugar</t>
  </si>
  <si>
    <t>sapies</t>
  </si>
  <si>
    <t>GRANT TOTAL</t>
  </si>
  <si>
    <t>UNIT SOLD</t>
  </si>
  <si>
    <t>TOTAL PROFIT</t>
  </si>
  <si>
    <t>AVERAGE SALES</t>
  </si>
  <si>
    <t>PROFIT</t>
  </si>
  <si>
    <t>Sum of UNITS SOLD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</si>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</sst>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0000"/>
    <numFmt numFmtId="165" formatCode="[$-F800]dddd\,\ mmmm\ dd\,\ yyyy"/>
    <numFmt numFmtId="166" formatCode="&quot;₹&quot;\ #,##0.00"/>
  </numFmts>
  <fonts count="10" x14ac:knownFonts="1">
    <font>
      <sz val="11"/>
      <color theme="1"/>
      <name val="Aptos Narrow"/>
      <family val="2"/>
      <scheme val="minor"/>
    </font>
    <font>
      <sz val="11"/>
      <color theme="0"/>
      <name val="Aptos Narrow"/>
      <family val="2"/>
      <scheme val="minor"/>
    </font>
    <font>
      <sz val="8"/>
      <name val="Aptos Narrow"/>
      <family val="2"/>
      <scheme val="minor"/>
    </font>
    <font>
      <b/>
      <sz val="11"/>
      <color theme="0"/>
      <name val="Aptos Narrow"/>
      <family val="2"/>
      <scheme val="minor"/>
    </font>
    <font>
      <b/>
      <sz val="11"/>
      <color theme="1"/>
      <name val="Aptos Narrow"/>
      <family val="2"/>
      <scheme val="minor"/>
    </font>
    <font>
      <u/>
      <sz val="11"/>
      <color theme="10"/>
      <name val="Aptos Narrow"/>
      <family val="2"/>
      <scheme val="minor"/>
    </font>
    <font>
      <sz val="11"/>
      <color rgb="FFC00000"/>
      <name val="Aptos Narrow"/>
      <family val="2"/>
      <scheme val="minor"/>
    </font>
    <font>
      <sz val="11"/>
      <color rgb="FF00B0F0"/>
      <name val="Aptos Narrow"/>
      <family val="2"/>
      <scheme val="minor"/>
    </font>
    <font>
      <sz val="11"/>
      <color rgb="FFFF0000"/>
      <name val="Aptos Narrow"/>
      <family val="2"/>
      <scheme val="minor"/>
    </font>
    <font>
      <b/>
      <sz val="11"/>
      <color rgb="FFFF0000"/>
      <name val="Aptos Narrow"/>
      <family val="2"/>
      <scheme val="minor"/>
    </font>
  </fonts>
  <fills count="13">
    <fill>
      <patternFill patternType="none"/>
    </fill>
    <fill>
      <patternFill patternType="gray125"/>
    </fill>
    <fill>
      <patternFill patternType="solid">
        <fgColor theme="7" tint="-0.499984740745262"/>
        <bgColor indexed="64"/>
      </patternFill>
    </fill>
    <fill>
      <patternFill patternType="solid">
        <fgColor theme="1"/>
        <bgColor indexed="64"/>
      </patternFill>
    </fill>
    <fill>
      <patternFill patternType="solid">
        <fgColor theme="9" tint="-0.499984740745262"/>
        <bgColor indexed="64"/>
      </patternFill>
    </fill>
    <fill>
      <patternFill patternType="solid">
        <fgColor theme="9" tint="0.39997558519241921"/>
        <bgColor indexed="64"/>
      </patternFill>
    </fill>
    <fill>
      <patternFill patternType="solid">
        <fgColor theme="3" tint="9.9978637043366805E-2"/>
        <bgColor indexed="64"/>
      </patternFill>
    </fill>
    <fill>
      <patternFill patternType="solid">
        <fgColor theme="3" tint="0.499984740745262"/>
        <bgColor indexed="64"/>
      </patternFill>
    </fill>
    <fill>
      <patternFill patternType="solid">
        <fgColor theme="3"/>
        <bgColor indexed="64"/>
      </patternFill>
    </fill>
    <fill>
      <patternFill patternType="solid">
        <fgColor theme="7"/>
        <bgColor indexed="64"/>
      </patternFill>
    </fill>
    <fill>
      <patternFill patternType="solid">
        <fgColor rgb="FFFFFF00"/>
        <bgColor indexed="64"/>
      </patternFill>
    </fill>
    <fill>
      <patternFill patternType="solid">
        <fgColor theme="4" tint="0.39997558519241921"/>
        <bgColor indexed="64"/>
      </patternFill>
    </fill>
    <fill>
      <patternFill patternType="solid">
        <fgColor theme="4"/>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46">
    <xf numFmtId="0" fontId="0" fillId="0" borderId="0" xfId="0"/>
    <xf numFmtId="0" fontId="0" fillId="0" borderId="0" xfId="0" applyAlignment="1">
      <alignment vertical="center"/>
    </xf>
    <xf numFmtId="0" fontId="1" fillId="2" borderId="0" xfId="0" applyFont="1" applyFill="1" applyAlignment="1">
      <alignment vertical="center"/>
    </xf>
    <xf numFmtId="0" fontId="1" fillId="2" borderId="0" xfId="0" applyFont="1" applyFill="1"/>
    <xf numFmtId="0" fontId="0" fillId="0" borderId="0" xfId="0" applyAlignment="1">
      <alignment horizontal="center" vertical="center"/>
    </xf>
    <xf numFmtId="0" fontId="0" fillId="0" borderId="0" xfId="0" applyAlignment="1">
      <alignment horizontal="center"/>
    </xf>
    <xf numFmtId="9" fontId="0" fillId="0" borderId="0" xfId="0" applyNumberFormat="1"/>
    <xf numFmtId="0" fontId="4" fillId="0" borderId="0" xfId="0" applyFont="1"/>
    <xf numFmtId="0" fontId="3" fillId="3" borderId="0" xfId="0" applyFont="1" applyFill="1"/>
    <xf numFmtId="0" fontId="0" fillId="5" borderId="0" xfId="0" applyFill="1" applyAlignment="1">
      <alignment horizontal="center"/>
    </xf>
    <xf numFmtId="0" fontId="1" fillId="4" borderId="0" xfId="0" applyFont="1" applyFill="1" applyAlignment="1">
      <alignment horizontal="center"/>
    </xf>
    <xf numFmtId="0" fontId="1" fillId="7" borderId="0" xfId="0" applyFont="1" applyFill="1"/>
    <xf numFmtId="0" fontId="1" fillId="6" borderId="0" xfId="0" applyFont="1" applyFill="1"/>
    <xf numFmtId="164" fontId="0" fillId="0" borderId="0" xfId="0" applyNumberFormat="1" applyAlignment="1">
      <alignment horizontal="center"/>
    </xf>
    <xf numFmtId="49" fontId="0" fillId="0" borderId="0" xfId="0" applyNumberFormat="1"/>
    <xf numFmtId="0" fontId="1" fillId="8" borderId="0" xfId="0" applyFont="1" applyFill="1"/>
    <xf numFmtId="0" fontId="5" fillId="0" borderId="0" xfId="1"/>
    <xf numFmtId="22" fontId="0" fillId="0" borderId="0" xfId="0" applyNumberFormat="1"/>
    <xf numFmtId="3" fontId="0" fillId="0" borderId="0" xfId="0" applyNumberFormat="1"/>
    <xf numFmtId="0" fontId="0" fillId="9" borderId="0" xfId="0" applyFill="1"/>
    <xf numFmtId="0" fontId="6" fillId="0" borderId="0" xfId="0" applyFont="1"/>
    <xf numFmtId="0" fontId="7" fillId="0" borderId="0" xfId="0" applyFont="1" applyAlignment="1">
      <alignment horizontal="center"/>
    </xf>
    <xf numFmtId="0" fontId="7" fillId="0" borderId="0" xfId="0" applyFont="1"/>
    <xf numFmtId="0" fontId="0" fillId="0" borderId="0" xfId="0" applyAlignment="1">
      <alignment horizontal="center" wrapText="1"/>
    </xf>
    <xf numFmtId="165" fontId="0" fillId="0" borderId="0" xfId="0" applyNumberFormat="1"/>
    <xf numFmtId="0" fontId="1" fillId="3" borderId="0" xfId="0" applyFont="1" applyFill="1"/>
    <xf numFmtId="14" fontId="0" fillId="0" borderId="0" xfId="0" applyNumberFormat="1"/>
    <xf numFmtId="0" fontId="4" fillId="0" borderId="0" xfId="0" applyFont="1" applyAlignment="1">
      <alignment horizontal="center"/>
    </xf>
    <xf numFmtId="3"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quotePrefix="1" applyAlignment="1">
      <alignment horizontal="center"/>
    </xf>
    <xf numFmtId="0" fontId="9" fillId="10" borderId="0" xfId="0" applyFont="1" applyFill="1" applyAlignment="1">
      <alignment horizontal="center"/>
    </xf>
    <xf numFmtId="0" fontId="8" fillId="10" borderId="0" xfId="0" applyFont="1" applyFill="1"/>
    <xf numFmtId="0" fontId="4" fillId="0" borderId="0" xfId="0" applyFont="1" applyAlignment="1">
      <alignment textRotation="45"/>
    </xf>
    <xf numFmtId="14" fontId="4" fillId="0" borderId="0" xfId="0" applyNumberFormat="1" applyFont="1" applyAlignment="1">
      <alignment textRotation="90"/>
    </xf>
    <xf numFmtId="14" fontId="9" fillId="0" borderId="0" xfId="0" applyNumberFormat="1" applyFont="1" applyAlignment="1">
      <alignment textRotation="90"/>
    </xf>
    <xf numFmtId="0" fontId="8" fillId="0" borderId="0" xfId="0" applyFont="1" applyAlignment="1">
      <alignment horizontal="center"/>
    </xf>
    <xf numFmtId="0" fontId="1" fillId="11" borderId="0" xfId="0" applyFont="1" applyFill="1"/>
    <xf numFmtId="0" fontId="3" fillId="11" borderId="0" xfId="0" applyFont="1" applyFill="1"/>
    <xf numFmtId="10" fontId="4" fillId="0" borderId="0" xfId="0" applyNumberFormat="1" applyFont="1"/>
    <xf numFmtId="0" fontId="0" fillId="0" borderId="0" xfId="0" applyAlignment="1">
      <alignment wrapText="1"/>
    </xf>
    <xf numFmtId="0" fontId="1" fillId="12" borderId="0" xfId="0" applyFont="1" applyFill="1"/>
    <xf numFmtId="166" fontId="0" fillId="0" borderId="0" xfId="0" applyNumberFormat="1"/>
    <xf numFmtId="44" fontId="0" fillId="0" borderId="0" xfId="0" applyNumberFormat="1"/>
  </cellXfs>
  <cellStyles count="2">
    <cellStyle name="Hyperlink" xfId="1" builtinId="8"/>
    <cellStyle name="Normal" xfId="0" builtinId="0"/>
  </cellStyles>
  <dxfs count="107">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numFmt numFmtId="19" formatCode="dd/mm/yyyy"/>
    </dxf>
    <dxf>
      <font>
        <b val="0"/>
        <i val="0"/>
        <strike val="0"/>
        <condense val="0"/>
        <extend val="0"/>
        <outline val="0"/>
        <shadow val="0"/>
        <u val="none"/>
        <vertAlign val="baseline"/>
        <sz val="11"/>
        <color theme="0"/>
        <name val="Aptos Narrow"/>
        <family val="2"/>
        <scheme val="minor"/>
      </font>
      <fill>
        <patternFill patternType="solid">
          <fgColor indexed="64"/>
          <bgColor theme="4"/>
        </patternFill>
      </fill>
    </dxf>
    <dxf>
      <numFmt numFmtId="34" formatCode="_ &quot;₹&quot;\ * #,##0.00_ ;_ &quot;₹&quot;\ * \-#,##0.00_ ;_ &quot;₹&quot;\ * &quot;-&quot;??_ ;_ @_ "/>
    </dxf>
    <dxf>
      <numFmt numFmtId="166" formatCode="&quot;₹&quot;\ #,##0.00"/>
    </dxf>
    <dxf>
      <numFmt numFmtId="34" formatCode="_ &quot;₹&quot;\ * #,##0.00_ ;_ &quot;₹&quot;\ * \-#,##0.00_ ;_ &quot;₹&quot;\ * &quot;-&quot;??_ ;_ @_ "/>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rgb="FFFF0000"/>
        <name val="Aptos Narrow"/>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rgb="FFFF0000"/>
        <name val="Aptos Narrow"/>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rgb="FFFF0000"/>
        <name val="Aptos Narrow"/>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rgb="FFFF0000"/>
        <name val="Aptos Narrow"/>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rgb="FFFF0000"/>
        <name val="Aptos Narrow"/>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dxf>
    <dxf>
      <numFmt numFmtId="165" formatCode="[$-F800]dddd\,\ mmmm\ dd\,\ yyyy"/>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dxf>
    <dxf>
      <alignment horizontal="center" vertical="bottom" textRotation="0" wrapText="0" indent="0" justifyLastLine="0" shrinkToFit="0" readingOrder="0"/>
    </dxf>
    <dxf>
      <alignment horizontal="center" vertical="bottom" textRotation="0" wrapText="1"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rgb="FFFCFCFF"/>
          <bgColor rgb="FF000000"/>
        </patternFill>
      </fill>
    </dxf>
    <dxf>
      <fill>
        <patternFill patternType="solid">
          <fgColor rgb="FFFACED1"/>
          <bgColor rgb="FF000000"/>
        </patternFill>
      </fill>
    </dxf>
    <dxf>
      <fill>
        <patternFill patternType="solid">
          <fgColor rgb="FFF8696B"/>
          <bgColor rgb="FF000000"/>
        </patternFill>
      </fill>
    </dxf>
    <dxf>
      <fill>
        <patternFill patternType="solid">
          <fgColor indexed="64"/>
          <bgColor theme="7"/>
        </patternFill>
      </fill>
    </dxf>
    <dxf>
      <fill>
        <patternFill patternType="solid">
          <fgColor indexed="64"/>
          <bgColor theme="7"/>
        </patternFill>
      </fill>
    </dxf>
    <dxf>
      <font>
        <b val="0"/>
        <i val="0"/>
        <strike val="0"/>
        <condense val="0"/>
        <extend val="0"/>
        <outline val="0"/>
        <shadow val="0"/>
        <u val="none"/>
        <vertAlign val="baseline"/>
        <sz val="11"/>
        <color theme="0"/>
        <name val="Aptos Narrow"/>
        <family val="2"/>
        <scheme val="minor"/>
      </font>
      <fill>
        <patternFill patternType="solid">
          <fgColor indexed="64"/>
          <bgColor theme="3"/>
        </patternFill>
      </fill>
    </dxf>
    <dxf>
      <numFmt numFmtId="3" formatCode="#,##0"/>
    </dxf>
    <dxf>
      <font>
        <b val="0"/>
        <i val="0"/>
        <strike val="0"/>
        <condense val="0"/>
        <extend val="0"/>
        <outline val="0"/>
        <shadow val="0"/>
        <u val="none"/>
        <vertAlign val="baseline"/>
        <sz val="11"/>
        <color theme="0"/>
        <name val="Aptos Narrow"/>
        <family val="2"/>
        <scheme val="minor"/>
      </font>
      <fill>
        <patternFill patternType="solid">
          <fgColor indexed="64"/>
          <bgColor theme="3"/>
        </patternFill>
      </fill>
    </dxf>
    <dxf>
      <font>
        <b/>
        <i val="0"/>
        <strike val="0"/>
        <condense val="0"/>
        <extend val="0"/>
        <outline val="0"/>
        <shadow val="0"/>
        <u val="none"/>
        <vertAlign val="baseline"/>
        <sz val="11"/>
        <color theme="1"/>
        <name val="Aptos Narrow"/>
        <family val="2"/>
        <scheme val="minor"/>
      </font>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0"/>
        <name val="Aptos Narrow"/>
        <family val="2"/>
        <scheme val="minor"/>
      </font>
      <fill>
        <patternFill patternType="solid">
          <fgColor indexed="64"/>
          <bgColor theme="3" tint="0.499984740745262"/>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theme="1"/>
        </patternFill>
      </fill>
    </dxf>
    <dxf>
      <alignment horizontal="general" vertical="center"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0"/>
        <name val="Aptos Narrow"/>
        <family val="2"/>
        <scheme val="minor"/>
      </font>
      <fill>
        <patternFill patternType="solid">
          <fgColor indexed="64"/>
          <bgColor theme="7"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34"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33"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openxmlformats.org/officeDocument/2006/relationships/connections" Target="connections.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'Chart,v13'!$B$1</c:f>
              <c:strCache>
                <c:ptCount val="1"/>
                <c:pt idx="0">
                  <c:v>Purchase</c:v>
                </c:pt>
              </c:strCache>
            </c:strRef>
          </c:tx>
          <c:spPr>
            <a:solidFill>
              <a:schemeClr val="accent1"/>
            </a:solidFill>
            <a:ln>
              <a:noFill/>
            </a:ln>
            <a:effectLst/>
          </c:spPr>
          <c:invertIfNegative val="0"/>
          <c:dLbls>
            <c:spPr>
              <a:blipFill>
                <a:blip xmlns:r="http://schemas.openxmlformats.org/officeDocument/2006/relationships" r:embed="rId3"/>
                <a:tile tx="0" ty="0" sx="100000" sy="100000" flip="none" algn="tl"/>
              </a:blip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strRef>
              <c:f>'Chart,v13'!$A$2:$A$6</c:f>
              <c:strCache>
                <c:ptCount val="5"/>
                <c:pt idx="0">
                  <c:v>MRF</c:v>
                </c:pt>
                <c:pt idx="1">
                  <c:v>CEAT</c:v>
                </c:pt>
                <c:pt idx="2">
                  <c:v>TVS</c:v>
                </c:pt>
                <c:pt idx="3">
                  <c:v>APOLLO</c:v>
                </c:pt>
                <c:pt idx="4">
                  <c:v>BRIDGESTONE</c:v>
                </c:pt>
              </c:strCache>
            </c:strRef>
          </c:cat>
          <c:val>
            <c:numRef>
              <c:f>'Chart,v13'!$B$2:$B$6</c:f>
              <c:numCache>
                <c:formatCode>#,##0</c:formatCode>
                <c:ptCount val="5"/>
                <c:pt idx="0">
                  <c:v>25000</c:v>
                </c:pt>
                <c:pt idx="1">
                  <c:v>35000</c:v>
                </c:pt>
                <c:pt idx="2">
                  <c:v>20000</c:v>
                </c:pt>
                <c:pt idx="3">
                  <c:v>40000</c:v>
                </c:pt>
                <c:pt idx="4">
                  <c:v>38000</c:v>
                </c:pt>
              </c:numCache>
            </c:numRef>
          </c:val>
          <c:extLst>
            <c:ext xmlns:c16="http://schemas.microsoft.com/office/drawing/2014/chart" uri="{C3380CC4-5D6E-409C-BE32-E72D297353CC}">
              <c16:uniqueId val="{00000000-4D63-48FF-90F0-AABF9708E780}"/>
            </c:ext>
          </c:extLst>
        </c:ser>
        <c:ser>
          <c:idx val="1"/>
          <c:order val="1"/>
          <c:tx>
            <c:strRef>
              <c:f>'Chart,v13'!$C$1</c:f>
              <c:strCache>
                <c:ptCount val="1"/>
                <c:pt idx="0">
                  <c:v>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strRef>
              <c:f>'Chart,v13'!$A$2:$A$6</c:f>
              <c:strCache>
                <c:ptCount val="5"/>
                <c:pt idx="0">
                  <c:v>MRF</c:v>
                </c:pt>
                <c:pt idx="1">
                  <c:v>CEAT</c:v>
                </c:pt>
                <c:pt idx="2">
                  <c:v>TVS</c:v>
                </c:pt>
                <c:pt idx="3">
                  <c:v>APOLLO</c:v>
                </c:pt>
                <c:pt idx="4">
                  <c:v>BRIDGESTONE</c:v>
                </c:pt>
              </c:strCache>
            </c:strRef>
          </c:cat>
          <c:val>
            <c:numRef>
              <c:f>'Chart,v13'!$C$2:$C$6</c:f>
              <c:numCache>
                <c:formatCode>#,##0</c:formatCode>
                <c:ptCount val="5"/>
                <c:pt idx="0">
                  <c:v>30000</c:v>
                </c:pt>
                <c:pt idx="1">
                  <c:v>40000</c:v>
                </c:pt>
                <c:pt idx="2">
                  <c:v>25000</c:v>
                </c:pt>
                <c:pt idx="3">
                  <c:v>45000</c:v>
                </c:pt>
                <c:pt idx="4">
                  <c:v>43000</c:v>
                </c:pt>
              </c:numCache>
            </c:numRef>
          </c:val>
          <c:extLst>
            <c:ext xmlns:c16="http://schemas.microsoft.com/office/drawing/2014/chart" uri="{C3380CC4-5D6E-409C-BE32-E72D297353CC}">
              <c16:uniqueId val="{00000001-4D63-48FF-90F0-AABF9708E780}"/>
            </c:ext>
          </c:extLst>
        </c:ser>
        <c:dLbls>
          <c:showLegendKey val="0"/>
          <c:showVal val="1"/>
          <c:showCatName val="0"/>
          <c:showSerName val="0"/>
          <c:showPercent val="0"/>
          <c:showBubbleSize val="0"/>
        </c:dLbls>
        <c:gapWidth val="219"/>
        <c:overlap val="-27"/>
        <c:axId val="219115184"/>
        <c:axId val="219114704"/>
      </c:barChart>
      <c:catAx>
        <c:axId val="21911518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114704"/>
        <c:crosses val="autoZero"/>
        <c:auto val="1"/>
        <c:lblAlgn val="ctr"/>
        <c:lblOffset val="100"/>
        <c:noMultiLvlLbl val="0"/>
      </c:catAx>
      <c:valAx>
        <c:axId val="21911470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1151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'Chart,v13'!$B$1</c:f>
              <c:strCache>
                <c:ptCount val="1"/>
                <c:pt idx="0">
                  <c:v>Purchase</c:v>
                </c:pt>
              </c:strCache>
            </c:strRef>
          </c:tx>
          <c:dPt>
            <c:idx val="0"/>
            <c:bubble3D val="0"/>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7EB-4953-9630-6AFFE1B8B128}"/>
              </c:ext>
            </c:extLst>
          </c:dPt>
          <c:dPt>
            <c:idx val="1"/>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E2A-45AC-9F6E-40AD86FF0E79}"/>
              </c:ext>
            </c:extLst>
          </c:dPt>
          <c:dPt>
            <c:idx val="2"/>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7EB-4953-9630-6AFFE1B8B128}"/>
              </c:ext>
            </c:extLst>
          </c:dPt>
          <c:dPt>
            <c:idx val="3"/>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7EB-4953-9630-6AFFE1B8B128}"/>
              </c:ext>
            </c:extLst>
          </c:dPt>
          <c:dPt>
            <c:idx val="4"/>
            <c:bubble3D val="0"/>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7EB-4953-9630-6AFFE1B8B128}"/>
              </c:ext>
            </c:extLst>
          </c:dPt>
          <c:dLbls>
            <c:dLbl>
              <c:idx val="1"/>
              <c:tx>
                <c:rich>
                  <a:bodyPr/>
                  <a:lstStyle/>
                  <a:p>
                    <a:fld id="{09881A24-C35F-48F1-8B4F-B05A47174B77}" type="CATEGORYNAME">
                      <a:rPr lang="en-US"/>
                      <a:pPr/>
                      <a:t>[CATEGORY NAME]</a:t>
                    </a:fld>
                    <a:r>
                      <a:rPr lang="en-US" baseline="0"/>
                      <a:t>
</a:t>
                    </a:r>
                    <a:fld id="{EFF170BC-764F-4844-A88A-311B85A341CC}" type="PERCENTAGE">
                      <a:rPr lang="en-US" baseline="0">
                        <a:solidFill>
                          <a:srgbClr val="FF0000"/>
                        </a:solidFill>
                      </a:rPr>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E2A-45AC-9F6E-40AD86FF0E79}"/>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'Chart,v13'!$A$2:$A$6</c:f>
              <c:strCache>
                <c:ptCount val="5"/>
                <c:pt idx="0">
                  <c:v>MRF</c:v>
                </c:pt>
                <c:pt idx="1">
                  <c:v>CEAT</c:v>
                </c:pt>
                <c:pt idx="2">
                  <c:v>TVS</c:v>
                </c:pt>
                <c:pt idx="3">
                  <c:v>APOLLO</c:v>
                </c:pt>
                <c:pt idx="4">
                  <c:v>BRIDGESTONE</c:v>
                </c:pt>
              </c:strCache>
            </c:strRef>
          </c:cat>
          <c:val>
            <c:numRef>
              <c:f>'Chart,v13'!$B$2:$B$6</c:f>
              <c:numCache>
                <c:formatCode>#,##0</c:formatCode>
                <c:ptCount val="5"/>
                <c:pt idx="0">
                  <c:v>25000</c:v>
                </c:pt>
                <c:pt idx="1">
                  <c:v>35000</c:v>
                </c:pt>
                <c:pt idx="2">
                  <c:v>20000</c:v>
                </c:pt>
                <c:pt idx="3">
                  <c:v>40000</c:v>
                </c:pt>
                <c:pt idx="4">
                  <c:v>38000</c:v>
                </c:pt>
              </c:numCache>
            </c:numRef>
          </c:val>
          <c:extLst>
            <c:ext xmlns:c16="http://schemas.microsoft.com/office/drawing/2014/chart" uri="{C3380CC4-5D6E-409C-BE32-E72D297353CC}">
              <c16:uniqueId val="{00000000-0E2A-45AC-9F6E-40AD86FF0E79}"/>
            </c:ext>
          </c:extLst>
        </c:ser>
        <c:dLbls>
          <c:dLblPos val="bestFit"/>
          <c:showLegendKey val="0"/>
          <c:showVal val="0"/>
          <c:showCatName val="0"/>
          <c:showSerName val="0"/>
          <c:showPercent val="0"/>
          <c:showBubbleSize val="0"/>
          <c:showLeaderLines val="0"/>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start.xlsl.xlsx]dash priv table!PivotTable4</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Total</a:t>
            </a:r>
          </a:p>
        </c:rich>
      </c:tx>
      <c:overlay val="0"/>
      <c:spPr>
        <a:noFill/>
        <a:ln>
          <a:noFill/>
        </a:ln>
        <a:effectLst/>
      </c:sp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manualLayout>
          <c:layoutTarget val="inner"/>
          <c:xMode val="edge"/>
          <c:yMode val="edge"/>
          <c:x val="0.3119715660542432"/>
          <c:y val="0.12902559055118107"/>
          <c:w val="0.41147353455818025"/>
          <c:h val="0.68578922426363376"/>
        </c:manualLayout>
      </c:layout>
      <c:doughnutChart>
        <c:varyColors val="1"/>
        <c:ser>
          <c:idx val="0"/>
          <c:order val="0"/>
          <c:tx>
            <c:strRef>
              <c:f>'dash priv table'!$B$3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5A-B2C9-4DEE-A6AC-9938B146C88F}"/>
              </c:ext>
            </c:extLst>
          </c:dPt>
          <c:dPt>
            <c:idx val="1"/>
            <c:bubble3D val="0"/>
            <c:extLst>
              <c:ext xmlns:c16="http://schemas.microsoft.com/office/drawing/2014/chart" uri="{C3380CC4-5D6E-409C-BE32-E72D297353CC}">
                <c16:uniqueId val="{0000005C-B2C9-4DEE-A6AC-9938B146C88F}"/>
              </c:ext>
            </c:extLst>
          </c:dPt>
          <c:dPt>
            <c:idx val="2"/>
            <c:bubble3D val="0"/>
            <c:extLst>
              <c:ext xmlns:c16="http://schemas.microsoft.com/office/drawing/2014/chart" uri="{C3380CC4-5D6E-409C-BE32-E72D297353CC}">
                <c16:uniqueId val="{0000005E-B2C9-4DEE-A6AC-9938B146C88F}"/>
              </c:ext>
            </c:extLst>
          </c:dPt>
          <c:dPt>
            <c:idx val="3"/>
            <c:bubble3D val="0"/>
            <c:extLst>
              <c:ext xmlns:c16="http://schemas.microsoft.com/office/drawing/2014/chart" uri="{C3380CC4-5D6E-409C-BE32-E72D297353CC}">
                <c16:uniqueId val="{00000060-B2C9-4DEE-A6AC-9938B146C8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'dash priv table'!$A$4</c:f>
              <c:strCache>
                <c:ptCount val="1"/>
                <c:pt idx="0">
                  <c:v>Grand Total</c:v>
                </c:pt>
              </c:strCache>
            </c:strRef>
          </c:cat>
          <c:val>
            <c:numRef>
              <c:f>'dash priv table'!$B$4</c:f>
              <c:numCache>
                <c:formatCode>_("₹"* #,##0.00_);_("₹"* \(#,##0.00\);_("₹"* "-"??_);_(@_)</c:formatCode>
                <c:ptCount val="1"/>
              </c:numCache>
            </c:numRef>
          </c:val>
          <c:extLst>
            <c:ext xmlns:c16="http://schemas.microsoft.com/office/drawing/2014/chart" uri="{C3380CC4-5D6E-409C-BE32-E72D297353CC}">
              <c16:uniqueId val="{00000061-B2C9-4DEE-A6AC-9938B146C88F}"/>
            </c:ext>
          </c:extLst>
        </c:ser>
        <c:dLbls>
          <c:showLegendKey val="0"/>
          <c:showVal val="1"/>
          <c:showCatName val="0"/>
          <c:showSerName val="0"/>
          <c:showPercent val="0"/>
          <c:showBubbleSize val="0"/>
          <c:showLeaderLines val="1"/>
        </c:dLbls>
        <c:firstSliceAng val="0"/>
        <c:holeSize val="70"/>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start.xlsl.xlsx]dash priv table!PivotTable5</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'dash priv table'!$E$3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'dash priv table'!$D$4</c:f>
              <c:strCache>
                <c:ptCount val="1"/>
                <c:pt idx="0">
                  <c:v>Grand Total</c:v>
                </c:pt>
              </c:strCache>
            </c:strRef>
          </c:cat>
          <c:val>
            <c:numRef>
              <c:f>'dash priv table'!$E$4</c:f>
              <c:numCache>
                <c:formatCode>"₹"\ #,##0.00</c:formatCode>
                <c:ptCount val="1"/>
              </c:numCache>
            </c:numRef>
          </c:val>
          <c:extLst>
            <c:ext xmlns:c16="http://schemas.microsoft.com/office/drawing/2014/chart" uri="{C3380CC4-5D6E-409C-BE32-E72D297353CC}">
              <c16:uniqueId val="{00000000-187F-4D62-B831-71DD33ED4CBB}"/>
            </c:ext>
          </c:extLst>
        </c:ser>
        <c:dLbls>
          <c:showLegendKey val="0"/>
          <c:showVal val="0"/>
          <c:showCatName val="0"/>
          <c:showSerName val="0"/>
          <c:showPercent val="0"/>
          <c:showBubbleSize val="0"/>
        </c:dLbls>
        <c:gapWidth val="164"/>
        <c:overlap val="-22"/>
        <c:axId val="322232159"/>
        <c:axId val="322233599"/>
      </c:barChart>
      <c:catAx>
        <c:axId val="322232159"/>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233599"/>
        <c:crosses val="autoZero"/>
        <c:auto val="1"/>
        <c:lblAlgn val="ctr"/>
        <c:lblOffset val="100"/>
        <c:noMultiLvlLbl val="0"/>
      </c:catAx>
      <c:valAx>
        <c:axId val="322233599"/>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232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start.xlsl.xlsx]dash priv table!PivotTable6</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10064955408424"/>
          <c:y val="0.1516713125275399"/>
          <c:w val="0.82553241852725967"/>
          <c:h val="0.73342744793762094"/>
        </c:manualLayout>
      </c:layout>
      <c:lineChart>
        <c:grouping val="standard"/>
        <c:varyColors val="0"/>
        <c:ser>
          <c:idx val="0"/>
          <c:order val="0"/>
          <c:tx>
            <c:strRef>
              <c:f>'dash priv table'!$H$3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'dash priv table'!$G$4</c:f>
              <c:strCache>
                <c:ptCount val="1"/>
                <c:pt idx="0">
                  <c:v>Grand Total</c:v>
                </c:pt>
              </c:strCache>
            </c:strRef>
          </c:cat>
          <c:val>
            <c:numRef>
              <c:f>'dash priv table'!$H$4</c:f>
              <c:numCache>
                <c:formatCode>_("₹"* #,##0.00_);_("₹"* \(#,##0.00\);_("₹"* "-"??_);_(@_)</c:formatCode>
                <c:ptCount val="1"/>
              </c:numCache>
            </c:numRef>
          </c:val>
          <c:smooth val="0"/>
          <c:extLst>
            <c:ext xmlns:c16="http://schemas.microsoft.com/office/drawing/2014/chart" uri="{C3380CC4-5D6E-409C-BE32-E72D297353CC}">
              <c16:uniqueId val="{00000000-9553-4A56-AE65-21141D83AA99}"/>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048799455"/>
        <c:axId val="2048801855"/>
      </c:lineChart>
      <c:catAx>
        <c:axId val="2048799455"/>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048801855"/>
        <c:crosses val="autoZero"/>
        <c:auto val="1"/>
        <c:lblAlgn val="ctr"/>
        <c:lblOffset val="100"/>
        <c:noMultiLvlLbl val="0"/>
      </c:catAx>
      <c:valAx>
        <c:axId val="2048801855"/>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48799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start.xlsl.xlsx]dash priv table!PivotTable7</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'dash priv table'!$L$4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382-4D7F-8EDA-3D870F95C61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382-4D7F-8EDA-3D870F95C61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382-4D7F-8EDA-3D870F95C61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382-4D7F-8EDA-3D870F95C61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382-4D7F-8EDA-3D870F95C61E}"/>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3382-4D7F-8EDA-3D870F95C61E}"/>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3382-4D7F-8EDA-3D870F95C61E}"/>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3382-4D7F-8EDA-3D870F95C61E}"/>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3382-4D7F-8EDA-3D870F95C61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 priv table'!$K$5:$K$14</c:f>
              <c:strCache>
                <c:ptCount val="9"/>
                <c:pt idx="0">
                  <c:v>action figure</c:v>
                </c:pt>
                <c:pt idx="1">
                  <c:v>blender</c:v>
                </c:pt>
                <c:pt idx="2">
                  <c:v>novel</c:v>
                </c:pt>
                <c:pt idx="3">
                  <c:v>oill</c:v>
                </c:pt>
                <c:pt idx="4">
                  <c:v>sapies</c:v>
                </c:pt>
                <c:pt idx="5">
                  <c:v>sneakers</c:v>
                </c:pt>
                <c:pt idx="6">
                  <c:v>soap</c:v>
                </c:pt>
                <c:pt idx="7">
                  <c:v>sugar</c:v>
                </c:pt>
                <c:pt idx="8">
                  <c:v>tent</c:v>
                </c:pt>
              </c:strCache>
            </c:strRef>
          </c:cat>
          <c:val>
            <c:numRef>
              <c:f>'dash priv table'!$L$5:$L$14</c:f>
              <c:numCache>
                <c:formatCode>General</c:formatCode>
                <c:ptCount val="9"/>
                <c:pt idx="0">
                  <c:v>164</c:v>
                </c:pt>
                <c:pt idx="1">
                  <c:v>73</c:v>
                </c:pt>
                <c:pt idx="2">
                  <c:v>76</c:v>
                </c:pt>
                <c:pt idx="3">
                  <c:v>28</c:v>
                </c:pt>
                <c:pt idx="4">
                  <c:v>85</c:v>
                </c:pt>
                <c:pt idx="5">
                  <c:v>27</c:v>
                </c:pt>
                <c:pt idx="6">
                  <c:v>144</c:v>
                </c:pt>
                <c:pt idx="7">
                  <c:v>123</c:v>
                </c:pt>
                <c:pt idx="8">
                  <c:v>130</c:v>
                </c:pt>
              </c:numCache>
            </c:numRef>
          </c:val>
          <c:extLst>
            <c:ext xmlns:c16="http://schemas.microsoft.com/office/drawing/2014/chart" uri="{C3380CC4-5D6E-409C-BE32-E72D297353CC}">
              <c16:uniqueId val="{00000000-81D9-446C-9AF3-8DF7C630871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l"/>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start.xlsl.xlsx]dash priv table!PivotTable7</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ysClr val="windowText" lastClr="000000">
                <a:lumMod val="75000"/>
                <a:lumOff val="25000"/>
              </a:sys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'dash priv table'!$L$4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701-4FDA-A04A-1D7111425A3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701-4FDA-A04A-1D7111425A3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701-4FDA-A04A-1D7111425A3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701-4FDA-A04A-1D7111425A3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701-4FDA-A04A-1D7111425A3D}"/>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2701-4FDA-A04A-1D7111425A3D}"/>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2701-4FDA-A04A-1D7111425A3D}"/>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2701-4FDA-A04A-1D7111425A3D}"/>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2701-4FDA-A04A-1D7111425A3D}"/>
              </c:ext>
            </c:extLst>
          </c:dPt>
          <c:dLbls>
            <c:spPr>
              <a:solidFill>
                <a:sysClr val="windowText" lastClr="000000">
                  <a:lumMod val="75000"/>
                  <a:lumOff val="25000"/>
                </a:sys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 priv table'!$K$5:$K$14</c:f>
              <c:strCache>
                <c:ptCount val="9"/>
                <c:pt idx="0">
                  <c:v>action figure</c:v>
                </c:pt>
                <c:pt idx="1">
                  <c:v>blender</c:v>
                </c:pt>
                <c:pt idx="2">
                  <c:v>novel</c:v>
                </c:pt>
                <c:pt idx="3">
                  <c:v>oill</c:v>
                </c:pt>
                <c:pt idx="4">
                  <c:v>sapies</c:v>
                </c:pt>
                <c:pt idx="5">
                  <c:v>sneakers</c:v>
                </c:pt>
                <c:pt idx="6">
                  <c:v>soap</c:v>
                </c:pt>
                <c:pt idx="7">
                  <c:v>sugar</c:v>
                </c:pt>
                <c:pt idx="8">
                  <c:v>tent</c:v>
                </c:pt>
              </c:strCache>
            </c:strRef>
          </c:cat>
          <c:val>
            <c:numRef>
              <c:f>'dash priv table'!$L$5:$L$14</c:f>
              <c:numCache>
                <c:formatCode>General</c:formatCode>
                <c:ptCount val="9"/>
                <c:pt idx="0">
                  <c:v>164</c:v>
                </c:pt>
                <c:pt idx="1">
                  <c:v>73</c:v>
                </c:pt>
                <c:pt idx="2">
                  <c:v>76</c:v>
                </c:pt>
                <c:pt idx="3">
                  <c:v>28</c:v>
                </c:pt>
                <c:pt idx="4">
                  <c:v>85</c:v>
                </c:pt>
                <c:pt idx="5">
                  <c:v>27</c:v>
                </c:pt>
                <c:pt idx="6">
                  <c:v>144</c:v>
                </c:pt>
                <c:pt idx="7">
                  <c:v>123</c:v>
                </c:pt>
                <c:pt idx="8">
                  <c:v>130</c:v>
                </c:pt>
              </c:numCache>
            </c:numRef>
          </c:val>
          <c:extLst>
            <c:ext xmlns:c16="http://schemas.microsoft.com/office/drawing/2014/chart" uri="{C3380CC4-5D6E-409C-BE32-E72D297353CC}">
              <c16:uniqueId val="{00000012-2701-4FDA-A04A-1D7111425A3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l"/>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start.xlsl.xlsx]dash priv table!PivotTable5</c:name>
    <c:fmtId val="4"/>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'dash priv table'!$E$3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'dash priv table'!$D$4</c:f>
              <c:strCache>
                <c:ptCount val="1"/>
                <c:pt idx="0">
                  <c:v>Grand Total</c:v>
                </c:pt>
              </c:strCache>
            </c:strRef>
          </c:cat>
          <c:val>
            <c:numRef>
              <c:f>'dash priv table'!$E$4</c:f>
              <c:numCache>
                <c:formatCode>"₹"\ #,##0.00</c:formatCode>
                <c:ptCount val="1"/>
              </c:numCache>
            </c:numRef>
          </c:val>
          <c:extLst>
            <c:ext xmlns:c16="http://schemas.microsoft.com/office/drawing/2014/chart" uri="{C3380CC4-5D6E-409C-BE32-E72D297353CC}">
              <c16:uniqueId val="{00000000-A32C-4D60-8946-DE82A61D4F88}"/>
            </c:ext>
          </c:extLst>
        </c:ser>
        <c:dLbls>
          <c:showLegendKey val="0"/>
          <c:showVal val="0"/>
          <c:showCatName val="0"/>
          <c:showSerName val="0"/>
          <c:showPercent val="0"/>
          <c:showBubbleSize val="0"/>
        </c:dLbls>
        <c:gapWidth val="164"/>
        <c:overlap val="-22"/>
        <c:axId val="322232159"/>
        <c:axId val="322233599"/>
      </c:barChart>
      <c:catAx>
        <c:axId val="322232159"/>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233599"/>
        <c:crosses val="autoZero"/>
        <c:auto val="1"/>
        <c:lblAlgn val="ctr"/>
        <c:lblOffset val="100"/>
        <c:noMultiLvlLbl val="0"/>
      </c:catAx>
      <c:valAx>
        <c:axId val="322233599"/>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232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start.xlsl.xlsx]dash priv table!PivotTable4</c:name>
    <c:fmtId val="6"/>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pivotFmt>
      <c:pivotFmt>
        <c:idx val="2"/>
      </c:pivotFmt>
      <c:pivotFmt>
        <c:idx val="3"/>
      </c:pivotFmt>
      <c:pivotFmt>
        <c:idx val="4"/>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manualLayout>
          <c:layoutTarget val="inner"/>
          <c:xMode val="edge"/>
          <c:yMode val="edge"/>
          <c:x val="0.3119715660542432"/>
          <c:y val="0.12902559055118107"/>
          <c:w val="0.41147353455818025"/>
          <c:h val="0.68578922426363376"/>
        </c:manualLayout>
      </c:layout>
      <c:doughnutChart>
        <c:varyColors val="1"/>
        <c:ser>
          <c:idx val="0"/>
          <c:order val="0"/>
          <c:tx>
            <c:strRef>
              <c:f>'dash priv table'!$B$3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BBDD-406A-807E-7174862E19F7}"/>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BBDD-406A-807E-7174862E19F7}"/>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BBDD-406A-807E-7174862E19F7}"/>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BBDD-406A-807E-7174862E19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'dash priv table'!$A$4</c:f>
              <c:strCache>
                <c:ptCount val="1"/>
                <c:pt idx="0">
                  <c:v>Grand Total</c:v>
                </c:pt>
              </c:strCache>
            </c:strRef>
          </c:cat>
          <c:val>
            <c:numRef>
              <c:f>'dash priv table'!$B$4</c:f>
              <c:numCache>
                <c:formatCode>_("₹"* #,##0.00_);_("₹"* \(#,##0.00\);_("₹"* "-"??_);_(@_)</c:formatCode>
                <c:ptCount val="1"/>
              </c:numCache>
            </c:numRef>
          </c:val>
          <c:extLst>
            <c:ext xmlns:c16="http://schemas.microsoft.com/office/drawing/2014/chart" uri="{C3380CC4-5D6E-409C-BE32-E72D297353CC}">
              <c16:uniqueId val="{00000008-BBDD-406A-807E-7174862E19F7}"/>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start.xlsl.xlsx]dash priv table!PivotTable6</c:name>
    <c:fmtId val="4"/>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13441277586779"/>
          <c:y val="2.5726743225106933E-2"/>
          <c:w val="0.82553241852725967"/>
          <c:h val="0.73342744793762094"/>
        </c:manualLayout>
      </c:layout>
      <c:lineChart>
        <c:grouping val="standard"/>
        <c:varyColors val="0"/>
        <c:ser>
          <c:idx val="0"/>
          <c:order val="0"/>
          <c:tx>
            <c:strRef>
              <c:f>'dash priv table'!$H$3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'dash priv table'!$G$4</c:f>
              <c:strCache>
                <c:ptCount val="1"/>
                <c:pt idx="0">
                  <c:v>Grand Total</c:v>
                </c:pt>
              </c:strCache>
            </c:strRef>
          </c:cat>
          <c:val>
            <c:numRef>
              <c:f>'dash priv table'!$H$4</c:f>
              <c:numCache>
                <c:formatCode>_("₹"* #,##0.00_);_("₹"* \(#,##0.00\);_("₹"* "-"??_);_(@_)</c:formatCode>
                <c:ptCount val="1"/>
              </c:numCache>
            </c:numRef>
          </c:val>
          <c:smooth val="0"/>
          <c:extLst>
            <c:ext xmlns:c16="http://schemas.microsoft.com/office/drawing/2014/chart" uri="{C3380CC4-5D6E-409C-BE32-E72D297353CC}">
              <c16:uniqueId val="{00000000-2991-48F7-9F86-17F72F5A854D}"/>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048799455"/>
        <c:axId val="2048801855"/>
      </c:lineChart>
      <c:catAx>
        <c:axId val="2048799455"/>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048801855"/>
        <c:crosses val="autoZero"/>
        <c:auto val="1"/>
        <c:lblAlgn val="ctr"/>
        <c:lblOffset val="100"/>
        <c:noMultiLvlLbl val="0"/>
      </c:catAx>
      <c:valAx>
        <c:axId val="2048801855"/>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48799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chart" Target="../charts/chart10.xml"/><Relationship Id="rId5" Type="http://schemas.openxmlformats.org/officeDocument/2006/relationships/image" Target="../media/image6.png"/><Relationship Id="rId10" Type="http://schemas.openxmlformats.org/officeDocument/2006/relationships/chart" Target="../charts/chart9.xml"/><Relationship Id="rId4" Type="http://schemas.openxmlformats.org/officeDocument/2006/relationships/image" Target="../media/image5.svg"/><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266700</xdr:colOff>
      <xdr:row>8</xdr:row>
      <xdr:rowOff>133350</xdr:rowOff>
    </xdr:from>
    <xdr:to>
      <xdr:col>14</xdr:col>
      <xdr:colOff>571500</xdr:colOff>
      <xdr:row>23</xdr:row>
      <xdr:rowOff>133350</xdr:rowOff>
    </xdr:to>
    <xdr:graphicFrame macro="">
      <xdr:nvGraphicFramePr>
        <xdr:cNvPr id="3" name="Chart 2">
          <a:extLst>
            <a:ext uri="{FF2B5EF4-FFF2-40B4-BE49-F238E27FC236}">
              <a16:creationId xmlns:a16="http://schemas.microsoft.com/office/drawing/2014/main" id="{940B010D-4C42-F2E5-1E12-8EFACE7AE1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8</xdr:row>
      <xdr:rowOff>133350</xdr:rowOff>
    </xdr:from>
    <xdr:to>
      <xdr:col>7</xdr:col>
      <xdr:colOff>190500</xdr:colOff>
      <xdr:row>23</xdr:row>
      <xdr:rowOff>133350</xdr:rowOff>
    </xdr:to>
    <xdr:graphicFrame macro="">
      <xdr:nvGraphicFramePr>
        <xdr:cNvPr id="4" name="Chart 3">
          <a:extLst>
            <a:ext uri="{FF2B5EF4-FFF2-40B4-BE49-F238E27FC236}">
              <a16:creationId xmlns:a16="http://schemas.microsoft.com/office/drawing/2014/main" id="{4D112E6A-4058-2BAB-0884-AB2B575935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16</xdr:row>
      <xdr:rowOff>167640</xdr:rowOff>
    </xdr:from>
    <xdr:to>
      <xdr:col>3</xdr:col>
      <xdr:colOff>99060</xdr:colOff>
      <xdr:row>34</xdr:row>
      <xdr:rowOff>167640</xdr:rowOff>
    </xdr:to>
    <xdr:graphicFrame macro="">
      <xdr:nvGraphicFramePr>
        <xdr:cNvPr id="2" name="Chart 1">
          <a:extLst>
            <a:ext uri="{FF2B5EF4-FFF2-40B4-BE49-F238E27FC236}">
              <a16:creationId xmlns:a16="http://schemas.microsoft.com/office/drawing/2014/main" id="{931F39BC-904D-2E66-7846-9CAE63CD00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419100</xdr:colOff>
      <xdr:row>15</xdr:row>
      <xdr:rowOff>83820</xdr:rowOff>
    </xdr:from>
    <xdr:to>
      <xdr:col>8</xdr:col>
      <xdr:colOff>472440</xdr:colOff>
      <xdr:row>38</xdr:row>
      <xdr:rowOff>38100</xdr:rowOff>
    </xdr:to>
    <xdr:graphicFrame macro="">
      <xdr:nvGraphicFramePr>
        <xdr:cNvPr id="3" name="Chart 2">
          <a:extLst>
            <a:ext uri="{FF2B5EF4-FFF2-40B4-BE49-F238E27FC236}">
              <a16:creationId xmlns:a16="http://schemas.microsoft.com/office/drawing/2014/main" id="{16809972-42C7-1BFA-E31C-87642A0D06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510540</xdr:colOff>
      <xdr:row>15</xdr:row>
      <xdr:rowOff>83820</xdr:rowOff>
    </xdr:from>
    <xdr:to>
      <xdr:col>15</xdr:col>
      <xdr:colOff>601980</xdr:colOff>
      <xdr:row>38</xdr:row>
      <xdr:rowOff>53340</xdr:rowOff>
    </xdr:to>
    <xdr:graphicFrame macro="">
      <xdr:nvGraphicFramePr>
        <xdr:cNvPr id="4" name="Chart 3">
          <a:extLst>
            <a:ext uri="{FF2B5EF4-FFF2-40B4-BE49-F238E27FC236}">
              <a16:creationId xmlns:a16="http://schemas.microsoft.com/office/drawing/2014/main" id="{D3B02406-248A-7A93-C74A-14A450D913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243840</xdr:colOff>
      <xdr:row>19</xdr:row>
      <xdr:rowOff>83820</xdr:rowOff>
    </xdr:from>
    <xdr:to>
      <xdr:col>23</xdr:col>
      <xdr:colOff>274320</xdr:colOff>
      <xdr:row>34</xdr:row>
      <xdr:rowOff>91440</xdr:rowOff>
    </xdr:to>
    <xdr:graphicFrame macro="">
      <xdr:nvGraphicFramePr>
        <xdr:cNvPr id="5" name="Chart 4">
          <a:extLst>
            <a:ext uri="{FF2B5EF4-FFF2-40B4-BE49-F238E27FC236}">
              <a16:creationId xmlns:a16="http://schemas.microsoft.com/office/drawing/2014/main" id="{683540E5-408B-D794-6C81-4D423C1573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563880</xdr:colOff>
      <xdr:row>0</xdr:row>
      <xdr:rowOff>60960</xdr:rowOff>
    </xdr:from>
    <xdr:to>
      <xdr:col>24</xdr:col>
      <xdr:colOff>563880</xdr:colOff>
      <xdr:row>14</xdr:row>
      <xdr:rowOff>81915</xdr:rowOff>
    </xdr:to>
    <mc:AlternateContent xmlns:mc="http://schemas.openxmlformats.org/markup-compatibility/2006">
      <mc:Choice xmlns:a14="http://schemas.microsoft.com/office/drawing/2010/main" Requires="a14">
        <xdr:graphicFrame macro="">
          <xdr:nvGraphicFramePr>
            <xdr:cNvPr id="6" name="SALES PERSON">
              <a:extLst>
                <a:ext uri="{FF2B5EF4-FFF2-40B4-BE49-F238E27FC236}">
                  <a16:creationId xmlns:a16="http://schemas.microsoft.com/office/drawing/2014/main" id="{262EDCA2-9200-FA9B-DE6F-BE017EED3BC2}"/>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dr:sp macro="" textlink="">
          <xdr:nvSpPr>
            <xdr:cNvPr id="0" name=""/>
            <xdr:cNvSpPr>
              <a:spLocks noTextEdit="1"/>
            </xdr:cNvSpPr>
          </xdr:nvSpPr>
          <xdr:spPr>
            <a:xfrm>
              <a:off x="17952720" y="609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22860</xdr:colOff>
      <xdr:row>4</xdr:row>
      <xdr:rowOff>175259</xdr:rowOff>
    </xdr:from>
    <xdr:to>
      <xdr:col>18</xdr:col>
      <xdr:colOff>518160</xdr:colOff>
      <xdr:row>8</xdr:row>
      <xdr:rowOff>167640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2CF47CAC-72A6-DAE9-8800-CC764C74AD6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363700" y="906779"/>
              <a:ext cx="1714500" cy="7239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480060</xdr:colOff>
      <xdr:row>0</xdr:row>
      <xdr:rowOff>15240</xdr:rowOff>
    </xdr:from>
    <xdr:to>
      <xdr:col>21</xdr:col>
      <xdr:colOff>480060</xdr:colOff>
      <xdr:row>14</xdr:row>
      <xdr:rowOff>36195</xdr:rowOff>
    </xdr:to>
    <mc:AlternateContent xmlns:mc="http://schemas.openxmlformats.org/markup-compatibility/2006">
      <mc:Choice xmlns:a14="http://schemas.microsoft.com/office/drawing/2010/main" Requires="a14">
        <xdr:graphicFrame macro="">
          <xdr:nvGraphicFramePr>
            <xdr:cNvPr id="8" name="PRODUCT">
              <a:extLst>
                <a:ext uri="{FF2B5EF4-FFF2-40B4-BE49-F238E27FC236}">
                  <a16:creationId xmlns:a16="http://schemas.microsoft.com/office/drawing/2014/main" id="{942A0B43-DD3B-9213-6D3C-45EE3A2033C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6040100" y="152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7620</xdr:rowOff>
    </xdr:from>
    <xdr:to>
      <xdr:col>18</xdr:col>
      <xdr:colOff>15240</xdr:colOff>
      <xdr:row>4</xdr:row>
      <xdr:rowOff>160020</xdr:rowOff>
    </xdr:to>
    <xdr:sp macro="" textlink="">
      <xdr:nvSpPr>
        <xdr:cNvPr id="2" name="Rectangle: Rounded Corners 1">
          <a:extLst>
            <a:ext uri="{FF2B5EF4-FFF2-40B4-BE49-F238E27FC236}">
              <a16:creationId xmlns:a16="http://schemas.microsoft.com/office/drawing/2014/main" id="{2A6E7A9D-FBCD-57DE-734C-1E8FCD8D979B}"/>
            </a:ext>
          </a:extLst>
        </xdr:cNvPr>
        <xdr:cNvSpPr/>
      </xdr:nvSpPr>
      <xdr:spPr>
        <a:xfrm>
          <a:off x="0" y="7620"/>
          <a:ext cx="10988040" cy="883920"/>
        </a:xfrm>
        <a:prstGeom prst="roundRect">
          <a:avLst/>
        </a:prstGeom>
        <a:solidFill>
          <a:schemeClr val="bg1"/>
        </a:solidFill>
        <a:ln>
          <a:noFill/>
          <a:extLst>
            <a:ext uri="{C807C97D-BFC1-408E-A445-0C87EB9F89A2}">
              <ask:lineSketchStyleProps xmlns:ask="http://schemas.microsoft.com/office/drawing/2018/sketchyshapes">
                <ask:type>
                  <ask:lineSketchNone/>
                </ask:type>
              </ask:lineSketchStyleProps>
            </a:ext>
          </a:extLst>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a:p>
      </xdr:txBody>
    </xdr:sp>
    <xdr:clientData/>
  </xdr:twoCellAnchor>
  <xdr:twoCellAnchor>
    <xdr:from>
      <xdr:col>0</xdr:col>
      <xdr:colOff>0</xdr:colOff>
      <xdr:row>4</xdr:row>
      <xdr:rowOff>152400</xdr:rowOff>
    </xdr:from>
    <xdr:to>
      <xdr:col>5</xdr:col>
      <xdr:colOff>76200</xdr:colOff>
      <xdr:row>10</xdr:row>
      <xdr:rowOff>76200</xdr:rowOff>
    </xdr:to>
    <xdr:grpSp>
      <xdr:nvGrpSpPr>
        <xdr:cNvPr id="23" name="Group 22">
          <a:extLst>
            <a:ext uri="{FF2B5EF4-FFF2-40B4-BE49-F238E27FC236}">
              <a16:creationId xmlns:a16="http://schemas.microsoft.com/office/drawing/2014/main" id="{0532F855-A549-F689-6967-FDF1A3BC1AF0}"/>
            </a:ext>
          </a:extLst>
        </xdr:cNvPr>
        <xdr:cNvGrpSpPr/>
      </xdr:nvGrpSpPr>
      <xdr:grpSpPr>
        <a:xfrm>
          <a:off x="0" y="883920"/>
          <a:ext cx="3124200" cy="1021080"/>
          <a:chOff x="0" y="883920"/>
          <a:chExt cx="3649980" cy="1424940"/>
        </a:xfrm>
      </xdr:grpSpPr>
      <xdr:sp macro="" textlink="">
        <xdr:nvSpPr>
          <xdr:cNvPr id="3" name="Rectangle: Rounded Corners 2">
            <a:extLst>
              <a:ext uri="{FF2B5EF4-FFF2-40B4-BE49-F238E27FC236}">
                <a16:creationId xmlns:a16="http://schemas.microsoft.com/office/drawing/2014/main" id="{F62112D7-D0E3-D4A8-18D1-4BB2B0CA3F83}"/>
              </a:ext>
            </a:extLst>
          </xdr:cNvPr>
          <xdr:cNvSpPr/>
        </xdr:nvSpPr>
        <xdr:spPr>
          <a:xfrm>
            <a:off x="0" y="891540"/>
            <a:ext cx="3649980" cy="1417320"/>
          </a:xfrm>
          <a:prstGeom prst="roundRect">
            <a:avLst/>
          </a:prstGeom>
          <a:solidFill>
            <a:schemeClr val="bg1"/>
          </a:solidFill>
          <a:ln>
            <a:extLst>
              <a:ext uri="{C807C97D-BFC1-408E-A445-0C87EB9F89A2}">
                <ask:lineSketchStyleProps xmlns:ask="http://schemas.microsoft.com/office/drawing/2018/sketchyshapes">
                  <ask:type>
                    <ask:lineSketchNone/>
                  </ask:type>
                </ask:lineSketchStyleProps>
              </a:ext>
            </a:extLst>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b="1">
                <a:solidFill>
                  <a:srgbClr val="FF0000"/>
                </a:solidFill>
              </a:rPr>
              <a:t> </a:t>
            </a:r>
          </a:p>
        </xdr:txBody>
      </xdr:sp>
      <xdr:sp macro="" textlink="">
        <xdr:nvSpPr>
          <xdr:cNvPr id="4" name="Rectangle: Rounded Corners 3">
            <a:extLst>
              <a:ext uri="{FF2B5EF4-FFF2-40B4-BE49-F238E27FC236}">
                <a16:creationId xmlns:a16="http://schemas.microsoft.com/office/drawing/2014/main" id="{B3CEE3DE-6369-FF4B-196A-1B24011B542F}"/>
              </a:ext>
            </a:extLst>
          </xdr:cNvPr>
          <xdr:cNvSpPr/>
        </xdr:nvSpPr>
        <xdr:spPr>
          <a:xfrm>
            <a:off x="0" y="883920"/>
            <a:ext cx="1036320" cy="1417320"/>
          </a:xfrm>
          <a:prstGeom prst="roundRect">
            <a:avLst>
              <a:gd name="adj" fmla="val 141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sp macro="" textlink="">
        <xdr:nvSpPr>
          <xdr:cNvPr id="5" name="TextBox 4">
            <a:extLst>
              <a:ext uri="{FF2B5EF4-FFF2-40B4-BE49-F238E27FC236}">
                <a16:creationId xmlns:a16="http://schemas.microsoft.com/office/drawing/2014/main" id="{4F2C69F4-B1F0-687E-7F44-9B35F053F7E8}"/>
              </a:ext>
            </a:extLst>
          </xdr:cNvPr>
          <xdr:cNvSpPr txBox="1"/>
        </xdr:nvSpPr>
        <xdr:spPr>
          <a:xfrm>
            <a:off x="1280160" y="1203960"/>
            <a:ext cx="1737360" cy="259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b="1">
                <a:solidFill>
                  <a:srgbClr val="FF0000"/>
                </a:solidFill>
              </a:rPr>
              <a:t>TOTAL </a:t>
            </a:r>
            <a:r>
              <a:rPr lang="en-IN" sz="1400" b="1">
                <a:solidFill>
                  <a:srgbClr val="FF0000"/>
                </a:solidFill>
              </a:rPr>
              <a:t>SALES</a:t>
            </a:r>
            <a:endParaRPr lang="en-IN" sz="1100" b="1">
              <a:solidFill>
                <a:srgbClr val="FF0000"/>
              </a:solidFill>
            </a:endParaRPr>
          </a:p>
        </xdr:txBody>
      </xdr:sp>
      <xdr:sp macro="" textlink="'try dashboard'!K2">
        <xdr:nvSpPr>
          <xdr:cNvPr id="6" name="TextBox 5">
            <a:extLst>
              <a:ext uri="{FF2B5EF4-FFF2-40B4-BE49-F238E27FC236}">
                <a16:creationId xmlns:a16="http://schemas.microsoft.com/office/drawing/2014/main" id="{969CACA9-6940-126A-C7A7-6C4EE5A8E5E7}"/>
              </a:ext>
            </a:extLst>
          </xdr:cNvPr>
          <xdr:cNvSpPr txBox="1"/>
        </xdr:nvSpPr>
        <xdr:spPr>
          <a:xfrm>
            <a:off x="1272540" y="1592580"/>
            <a:ext cx="1729740" cy="259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B05FF5-C71C-4A21-9B2C-2AA307F5315E}" type="TxLink">
              <a:rPr lang="en-US" sz="2400" b="0" i="0" u="none" strike="noStrike">
                <a:solidFill>
                  <a:srgbClr val="FF0000"/>
                </a:solidFill>
                <a:latin typeface="Aptos Narrow"/>
              </a:rPr>
              <a:pPr algn="ctr"/>
              <a:t>977124</a:t>
            </a:fld>
            <a:endParaRPr lang="en-IN" sz="2400">
              <a:solidFill>
                <a:srgbClr val="FF0000"/>
              </a:solidFill>
            </a:endParaRPr>
          </a:p>
        </xdr:txBody>
      </xdr:sp>
    </xdr:grpSp>
    <xdr:clientData/>
  </xdr:twoCellAnchor>
  <xdr:twoCellAnchor>
    <xdr:from>
      <xdr:col>5</xdr:col>
      <xdr:colOff>83820</xdr:colOff>
      <xdr:row>4</xdr:row>
      <xdr:rowOff>160020</xdr:rowOff>
    </xdr:from>
    <xdr:to>
      <xdr:col>10</xdr:col>
      <xdr:colOff>182880</xdr:colOff>
      <xdr:row>10</xdr:row>
      <xdr:rowOff>60960</xdr:rowOff>
    </xdr:to>
    <xdr:grpSp>
      <xdr:nvGrpSpPr>
        <xdr:cNvPr id="13" name="Group 12">
          <a:extLst>
            <a:ext uri="{FF2B5EF4-FFF2-40B4-BE49-F238E27FC236}">
              <a16:creationId xmlns:a16="http://schemas.microsoft.com/office/drawing/2014/main" id="{C003EEB0-E289-5216-57B2-3FE2AA564D5A}"/>
            </a:ext>
          </a:extLst>
        </xdr:cNvPr>
        <xdr:cNvGrpSpPr/>
      </xdr:nvGrpSpPr>
      <xdr:grpSpPr>
        <a:xfrm>
          <a:off x="3131820" y="891540"/>
          <a:ext cx="3147060" cy="998220"/>
          <a:chOff x="0" y="883920"/>
          <a:chExt cx="3649980" cy="1424940"/>
        </a:xfrm>
      </xdr:grpSpPr>
      <xdr:sp macro="" textlink="">
        <xdr:nvSpPr>
          <xdr:cNvPr id="14" name="Rectangle: Rounded Corners 13">
            <a:extLst>
              <a:ext uri="{FF2B5EF4-FFF2-40B4-BE49-F238E27FC236}">
                <a16:creationId xmlns:a16="http://schemas.microsoft.com/office/drawing/2014/main" id="{EDBA389C-3BE8-E7D6-1521-30F752D2595C}"/>
              </a:ext>
            </a:extLst>
          </xdr:cNvPr>
          <xdr:cNvSpPr/>
        </xdr:nvSpPr>
        <xdr:spPr>
          <a:xfrm>
            <a:off x="0" y="891540"/>
            <a:ext cx="3649980" cy="1417320"/>
          </a:xfrm>
          <a:prstGeom prst="roundRect">
            <a:avLst/>
          </a:prstGeom>
          <a:solidFill>
            <a:schemeClr val="bg1"/>
          </a:solidFill>
          <a:ln>
            <a:extLst>
              <a:ext uri="{C807C97D-BFC1-408E-A445-0C87EB9F89A2}">
                <ask:lineSketchStyleProps xmlns:ask="http://schemas.microsoft.com/office/drawing/2018/sketchyshapes">
                  <ask:type>
                    <ask:lineSketchNone/>
                  </ask:type>
                </ask:lineSketchStyleProps>
              </a:ext>
            </a:extLst>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b="1"/>
              <a:t> </a:t>
            </a:r>
          </a:p>
        </xdr:txBody>
      </xdr:sp>
      <xdr:sp macro="" textlink="">
        <xdr:nvSpPr>
          <xdr:cNvPr id="15" name="Rectangle: Rounded Corners 14">
            <a:extLst>
              <a:ext uri="{FF2B5EF4-FFF2-40B4-BE49-F238E27FC236}">
                <a16:creationId xmlns:a16="http://schemas.microsoft.com/office/drawing/2014/main" id="{6F153F36-CF73-DC50-E5A1-DA52B78E4194}"/>
              </a:ext>
            </a:extLst>
          </xdr:cNvPr>
          <xdr:cNvSpPr/>
        </xdr:nvSpPr>
        <xdr:spPr>
          <a:xfrm>
            <a:off x="0" y="883920"/>
            <a:ext cx="1036320" cy="1417320"/>
          </a:xfrm>
          <a:prstGeom prst="roundRect">
            <a:avLst>
              <a:gd name="adj" fmla="val 141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TextBox 15">
            <a:extLst>
              <a:ext uri="{FF2B5EF4-FFF2-40B4-BE49-F238E27FC236}">
                <a16:creationId xmlns:a16="http://schemas.microsoft.com/office/drawing/2014/main" id="{5A0CA689-0450-9603-E23F-92FD7F87AD16}"/>
              </a:ext>
            </a:extLst>
          </xdr:cNvPr>
          <xdr:cNvSpPr txBox="1"/>
        </xdr:nvSpPr>
        <xdr:spPr>
          <a:xfrm>
            <a:off x="1280160" y="1203960"/>
            <a:ext cx="1737360" cy="259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b="1">
                <a:solidFill>
                  <a:srgbClr val="FF0000"/>
                </a:solidFill>
              </a:rPr>
              <a:t>UNITS</a:t>
            </a:r>
            <a:r>
              <a:rPr lang="en-IN" sz="1100" b="1" baseline="0"/>
              <a:t> </a:t>
            </a:r>
            <a:r>
              <a:rPr lang="en-IN" sz="1100" b="1" baseline="0">
                <a:solidFill>
                  <a:srgbClr val="FF0000"/>
                </a:solidFill>
              </a:rPr>
              <a:t>SOLD</a:t>
            </a:r>
            <a:endParaRPr lang="en-IN" sz="1100" b="1">
              <a:solidFill>
                <a:srgbClr val="FF0000"/>
              </a:solidFill>
            </a:endParaRPr>
          </a:p>
        </xdr:txBody>
      </xdr:sp>
      <xdr:sp macro="" textlink="'try dashboard'!K4">
        <xdr:nvSpPr>
          <xdr:cNvPr id="17" name="TextBox 16">
            <a:extLst>
              <a:ext uri="{FF2B5EF4-FFF2-40B4-BE49-F238E27FC236}">
                <a16:creationId xmlns:a16="http://schemas.microsoft.com/office/drawing/2014/main" id="{093E8291-6E37-FE02-C381-EDD864CC7B03}"/>
              </a:ext>
            </a:extLst>
          </xdr:cNvPr>
          <xdr:cNvSpPr txBox="1"/>
        </xdr:nvSpPr>
        <xdr:spPr>
          <a:xfrm>
            <a:off x="1219200" y="1630680"/>
            <a:ext cx="1729740" cy="259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342DA0-4F88-47F2-95CF-7D9B08605E38}" type="TxLink">
              <a:rPr lang="en-US" sz="1100" b="0" i="0" u="none" strike="noStrike">
                <a:solidFill>
                  <a:srgbClr val="000000"/>
                </a:solidFill>
                <a:latin typeface="Aptos Narrow"/>
              </a:rPr>
              <a:pPr algn="ctr"/>
              <a:t>850</a:t>
            </a:fld>
            <a:endParaRPr lang="en-IN" sz="2400"/>
          </a:p>
        </xdr:txBody>
      </xdr:sp>
    </xdr:grpSp>
    <xdr:clientData/>
  </xdr:twoCellAnchor>
  <xdr:twoCellAnchor>
    <xdr:from>
      <xdr:col>10</xdr:col>
      <xdr:colOff>175260</xdr:colOff>
      <xdr:row>4</xdr:row>
      <xdr:rowOff>152400</xdr:rowOff>
    </xdr:from>
    <xdr:to>
      <xdr:col>15</xdr:col>
      <xdr:colOff>198120</xdr:colOff>
      <xdr:row>10</xdr:row>
      <xdr:rowOff>38100</xdr:rowOff>
    </xdr:to>
    <xdr:grpSp>
      <xdr:nvGrpSpPr>
        <xdr:cNvPr id="18" name="Group 17">
          <a:extLst>
            <a:ext uri="{FF2B5EF4-FFF2-40B4-BE49-F238E27FC236}">
              <a16:creationId xmlns:a16="http://schemas.microsoft.com/office/drawing/2014/main" id="{E44EADBE-6A34-D99E-282D-5DDFF591ABC7}"/>
            </a:ext>
          </a:extLst>
        </xdr:cNvPr>
        <xdr:cNvGrpSpPr/>
      </xdr:nvGrpSpPr>
      <xdr:grpSpPr>
        <a:xfrm>
          <a:off x="6271260" y="883920"/>
          <a:ext cx="3070860" cy="982980"/>
          <a:chOff x="0" y="883920"/>
          <a:chExt cx="3649980" cy="1424940"/>
        </a:xfrm>
      </xdr:grpSpPr>
      <xdr:sp macro="" textlink="">
        <xdr:nvSpPr>
          <xdr:cNvPr id="19" name="Rectangle: Rounded Corners 18">
            <a:extLst>
              <a:ext uri="{FF2B5EF4-FFF2-40B4-BE49-F238E27FC236}">
                <a16:creationId xmlns:a16="http://schemas.microsoft.com/office/drawing/2014/main" id="{0C2AA415-0BB3-1247-BD1C-457A4C516CFA}"/>
              </a:ext>
            </a:extLst>
          </xdr:cNvPr>
          <xdr:cNvSpPr/>
        </xdr:nvSpPr>
        <xdr:spPr>
          <a:xfrm>
            <a:off x="0" y="891540"/>
            <a:ext cx="3649980" cy="1417320"/>
          </a:xfrm>
          <a:prstGeom prst="roundRect">
            <a:avLst/>
          </a:prstGeom>
          <a:solidFill>
            <a:schemeClr val="bg1"/>
          </a:solidFill>
          <a:ln>
            <a:extLst>
              <a:ext uri="{C807C97D-BFC1-408E-A445-0C87EB9F89A2}">
                <ask:lineSketchStyleProps xmlns:ask="http://schemas.microsoft.com/office/drawing/2018/sketchyshapes">
                  <ask:type>
                    <ask:lineSketchNone/>
                  </ask:type>
                </ask:lineSketchStyleProps>
              </a:ext>
            </a:extLst>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b="1"/>
              <a:t> </a:t>
            </a:r>
          </a:p>
        </xdr:txBody>
      </xdr:sp>
      <xdr:sp macro="" textlink="">
        <xdr:nvSpPr>
          <xdr:cNvPr id="20" name="Rectangle: Rounded Corners 19">
            <a:extLst>
              <a:ext uri="{FF2B5EF4-FFF2-40B4-BE49-F238E27FC236}">
                <a16:creationId xmlns:a16="http://schemas.microsoft.com/office/drawing/2014/main" id="{7EEF6F52-BE1F-1EFB-1EA9-9B327DFE0740}"/>
              </a:ext>
            </a:extLst>
          </xdr:cNvPr>
          <xdr:cNvSpPr/>
        </xdr:nvSpPr>
        <xdr:spPr>
          <a:xfrm>
            <a:off x="0" y="883920"/>
            <a:ext cx="1036320" cy="1417320"/>
          </a:xfrm>
          <a:prstGeom prst="roundRect">
            <a:avLst>
              <a:gd name="adj" fmla="val 141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TextBox 20">
            <a:extLst>
              <a:ext uri="{FF2B5EF4-FFF2-40B4-BE49-F238E27FC236}">
                <a16:creationId xmlns:a16="http://schemas.microsoft.com/office/drawing/2014/main" id="{8B1AEC8E-B8E0-7790-43F9-30BE7E107B4C}"/>
              </a:ext>
            </a:extLst>
          </xdr:cNvPr>
          <xdr:cNvSpPr txBox="1"/>
        </xdr:nvSpPr>
        <xdr:spPr>
          <a:xfrm>
            <a:off x="1280160" y="1203960"/>
            <a:ext cx="1737360" cy="259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FF0000"/>
                </a:solidFill>
              </a:rPr>
              <a:t>PROFIT</a:t>
            </a:r>
          </a:p>
        </xdr:txBody>
      </xdr:sp>
      <xdr:sp macro="" textlink="'try dashboard'!K6">
        <xdr:nvSpPr>
          <xdr:cNvPr id="22" name="TextBox 21">
            <a:extLst>
              <a:ext uri="{FF2B5EF4-FFF2-40B4-BE49-F238E27FC236}">
                <a16:creationId xmlns:a16="http://schemas.microsoft.com/office/drawing/2014/main" id="{75A52370-49C6-B8F1-2E95-C3F498B930A1}"/>
              </a:ext>
            </a:extLst>
          </xdr:cNvPr>
          <xdr:cNvSpPr txBox="1"/>
        </xdr:nvSpPr>
        <xdr:spPr>
          <a:xfrm>
            <a:off x="1219200" y="1630680"/>
            <a:ext cx="1729740" cy="259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9542D3-BB0A-4172-8235-F2E844D09B2D}" type="TxLink">
              <a:rPr lang="en-US" sz="1100" b="0" i="0" u="none" strike="noStrike">
                <a:solidFill>
                  <a:srgbClr val="000000"/>
                </a:solidFill>
                <a:latin typeface="Aptos Narrow"/>
              </a:rPr>
              <a:pPr algn="ctr"/>
              <a:t>-3891548</a:t>
            </a:fld>
            <a:endParaRPr lang="en-IN" sz="2400"/>
          </a:p>
        </xdr:txBody>
      </xdr:sp>
    </xdr:grpSp>
    <xdr:clientData/>
  </xdr:twoCellAnchor>
  <xdr:twoCellAnchor editAs="oneCell">
    <xdr:from>
      <xdr:col>1</xdr:col>
      <xdr:colOff>518160</xdr:colOff>
      <xdr:row>0</xdr:row>
      <xdr:rowOff>114300</xdr:rowOff>
    </xdr:from>
    <xdr:to>
      <xdr:col>3</xdr:col>
      <xdr:colOff>53340</xdr:colOff>
      <xdr:row>4</xdr:row>
      <xdr:rowOff>137160</xdr:rowOff>
    </xdr:to>
    <xdr:pic>
      <xdr:nvPicPr>
        <xdr:cNvPr id="25" name="Graphic 24" descr="Bank with solid fill">
          <a:extLst>
            <a:ext uri="{FF2B5EF4-FFF2-40B4-BE49-F238E27FC236}">
              <a16:creationId xmlns:a16="http://schemas.microsoft.com/office/drawing/2014/main" id="{A55C6BC6-DC17-5A16-ACAE-7FA626DDAB6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27760" y="114300"/>
          <a:ext cx="754380" cy="754380"/>
        </a:xfrm>
        <a:prstGeom prst="rect">
          <a:avLst/>
        </a:prstGeom>
      </xdr:spPr>
    </xdr:pic>
    <xdr:clientData/>
  </xdr:twoCellAnchor>
  <xdr:twoCellAnchor editAs="oneCell">
    <xdr:from>
      <xdr:col>5</xdr:col>
      <xdr:colOff>165240</xdr:colOff>
      <xdr:row>5</xdr:row>
      <xdr:rowOff>81420</xdr:rowOff>
    </xdr:from>
    <xdr:to>
      <xdr:col>6</xdr:col>
      <xdr:colOff>289560</xdr:colOff>
      <xdr:row>9</xdr:row>
      <xdr:rowOff>83820</xdr:rowOff>
    </xdr:to>
    <xdr:pic>
      <xdr:nvPicPr>
        <xdr:cNvPr id="27" name="Graphic 26" descr="Money with solid fill">
          <a:extLst>
            <a:ext uri="{FF2B5EF4-FFF2-40B4-BE49-F238E27FC236}">
              <a16:creationId xmlns:a16="http://schemas.microsoft.com/office/drawing/2014/main" id="{81DB945E-52B2-DD6C-ED9D-3A2A78381F2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213240" y="995820"/>
          <a:ext cx="733920" cy="733920"/>
        </a:xfrm>
        <a:prstGeom prst="rect">
          <a:avLst/>
        </a:prstGeom>
      </xdr:spPr>
    </xdr:pic>
    <xdr:clientData/>
  </xdr:twoCellAnchor>
  <xdr:twoCellAnchor editAs="oneCell">
    <xdr:from>
      <xdr:col>0</xdr:col>
      <xdr:colOff>71400</xdr:colOff>
      <xdr:row>5</xdr:row>
      <xdr:rowOff>63780</xdr:rowOff>
    </xdr:from>
    <xdr:to>
      <xdr:col>1</xdr:col>
      <xdr:colOff>167640</xdr:colOff>
      <xdr:row>9</xdr:row>
      <xdr:rowOff>38100</xdr:rowOff>
    </xdr:to>
    <xdr:pic>
      <xdr:nvPicPr>
        <xdr:cNvPr id="29" name="Graphic 28" descr="Dollar with solid fill">
          <a:extLst>
            <a:ext uri="{FF2B5EF4-FFF2-40B4-BE49-F238E27FC236}">
              <a16:creationId xmlns:a16="http://schemas.microsoft.com/office/drawing/2014/main" id="{E0C0F172-14A0-C0D2-6B2D-A175FEC0057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1400" y="978180"/>
          <a:ext cx="705840" cy="705840"/>
        </a:xfrm>
        <a:prstGeom prst="rect">
          <a:avLst/>
        </a:prstGeom>
      </xdr:spPr>
    </xdr:pic>
    <xdr:clientData/>
  </xdr:twoCellAnchor>
  <xdr:twoCellAnchor>
    <xdr:from>
      <xdr:col>3</xdr:col>
      <xdr:colOff>30480</xdr:colOff>
      <xdr:row>1</xdr:row>
      <xdr:rowOff>45720</xdr:rowOff>
    </xdr:from>
    <xdr:to>
      <xdr:col>14</xdr:col>
      <xdr:colOff>411480</xdr:colOff>
      <xdr:row>4</xdr:row>
      <xdr:rowOff>30480</xdr:rowOff>
    </xdr:to>
    <xdr:sp macro="" textlink="">
      <xdr:nvSpPr>
        <xdr:cNvPr id="32" name="TextBox 31">
          <a:extLst>
            <a:ext uri="{FF2B5EF4-FFF2-40B4-BE49-F238E27FC236}">
              <a16:creationId xmlns:a16="http://schemas.microsoft.com/office/drawing/2014/main" id="{A3087A79-DD92-000E-1432-421CE07F2B96}"/>
            </a:ext>
          </a:extLst>
        </xdr:cNvPr>
        <xdr:cNvSpPr txBox="1"/>
      </xdr:nvSpPr>
      <xdr:spPr>
        <a:xfrm>
          <a:off x="1859280" y="228600"/>
          <a:ext cx="7086600" cy="533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a:t>SALES DASHBOARD -2025 OK</a:t>
          </a:r>
        </a:p>
      </xdr:txBody>
    </xdr:sp>
    <xdr:clientData/>
  </xdr:twoCellAnchor>
  <xdr:twoCellAnchor editAs="oneCell">
    <xdr:from>
      <xdr:col>10</xdr:col>
      <xdr:colOff>243841</xdr:colOff>
      <xdr:row>5</xdr:row>
      <xdr:rowOff>114301</xdr:rowOff>
    </xdr:from>
    <xdr:to>
      <xdr:col>11</xdr:col>
      <xdr:colOff>251460</xdr:colOff>
      <xdr:row>9</xdr:row>
      <xdr:rowOff>0</xdr:rowOff>
    </xdr:to>
    <xdr:pic>
      <xdr:nvPicPr>
        <xdr:cNvPr id="8" name="Picture 7" descr="Coins with solid fill">
          <a:extLst>
            <a:ext uri="{FF2B5EF4-FFF2-40B4-BE49-F238E27FC236}">
              <a16:creationId xmlns:a16="http://schemas.microsoft.com/office/drawing/2014/main" id="{64E50C82-D7A3-9B8A-2BF9-243AC2A8665B}"/>
            </a:ext>
          </a:extLst>
        </xdr:cNvPr>
        <xdr:cNvPicPr>
          <a:picLocks noChangeAspect="1"/>
        </xdr:cNvPicPr>
      </xdr:nvPicPr>
      <xdr:blipFill>
        <a:blip xmlns:r="http://schemas.openxmlformats.org/officeDocument/2006/relationships" r:embed="rId7"/>
        <a:stretch>
          <a:fillRect/>
        </a:stretch>
      </xdr:blipFill>
      <xdr:spPr>
        <a:xfrm>
          <a:off x="6339841" y="1028701"/>
          <a:ext cx="617219" cy="617219"/>
        </a:xfrm>
        <a:prstGeom prst="rect">
          <a:avLst/>
        </a:prstGeom>
      </xdr:spPr>
    </xdr:pic>
    <xdr:clientData/>
  </xdr:twoCellAnchor>
  <xdr:twoCellAnchor editAs="oneCell">
    <xdr:from>
      <xdr:col>15</xdr:col>
      <xdr:colOff>213360</xdr:colOff>
      <xdr:row>4</xdr:row>
      <xdr:rowOff>175260</xdr:rowOff>
    </xdr:from>
    <xdr:to>
      <xdr:col>18</xdr:col>
      <xdr:colOff>22860</xdr:colOff>
      <xdr:row>10</xdr:row>
      <xdr:rowOff>38100</xdr:rowOff>
    </xdr:to>
    <mc:AlternateContent xmlns:mc="http://schemas.openxmlformats.org/markup-compatibility/2006">
      <mc:Choice xmlns:a14="http://schemas.microsoft.com/office/drawing/2010/main" Requires="a14">
        <xdr:graphicFrame macro="">
          <xdr:nvGraphicFramePr>
            <xdr:cNvPr id="9" name="REGION 1">
              <a:extLst>
                <a:ext uri="{FF2B5EF4-FFF2-40B4-BE49-F238E27FC236}">
                  <a16:creationId xmlns:a16="http://schemas.microsoft.com/office/drawing/2014/main" id="{82BDE599-7518-4C28-AE0F-9E09AB1587D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357360" y="906780"/>
              <a:ext cx="1638300" cy="960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26</xdr:row>
      <xdr:rowOff>68580</xdr:rowOff>
    </xdr:from>
    <xdr:to>
      <xdr:col>3</xdr:col>
      <xdr:colOff>45720</xdr:colOff>
      <xdr:row>60</xdr:row>
      <xdr:rowOff>144780</xdr:rowOff>
    </xdr:to>
    <mc:AlternateContent xmlns:mc="http://schemas.openxmlformats.org/markup-compatibility/2006">
      <mc:Choice xmlns:a14="http://schemas.microsoft.com/office/drawing/2010/main" Requires="a14">
        <xdr:graphicFrame macro="">
          <xdr:nvGraphicFramePr>
            <xdr:cNvPr id="10" name="SALES PERSON 1">
              <a:extLst>
                <a:ext uri="{FF2B5EF4-FFF2-40B4-BE49-F238E27FC236}">
                  <a16:creationId xmlns:a16="http://schemas.microsoft.com/office/drawing/2014/main" id="{A0EC1B71-675A-4F71-964F-D1BBF902D9E9}"/>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dr:sp macro="" textlink="">
          <xdr:nvSpPr>
            <xdr:cNvPr id="0" name=""/>
            <xdr:cNvSpPr>
              <a:spLocks noTextEdit="1"/>
            </xdr:cNvSpPr>
          </xdr:nvSpPr>
          <xdr:spPr>
            <a:xfrm>
              <a:off x="45720" y="4823460"/>
              <a:ext cx="1828800" cy="6294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10</xdr:row>
      <xdr:rowOff>91440</xdr:rowOff>
    </xdr:from>
    <xdr:to>
      <xdr:col>3</xdr:col>
      <xdr:colOff>38100</xdr:colOff>
      <xdr:row>26</xdr:row>
      <xdr:rowOff>76200</xdr:rowOff>
    </xdr:to>
    <mc:AlternateContent xmlns:mc="http://schemas.openxmlformats.org/markup-compatibility/2006">
      <mc:Choice xmlns:a14="http://schemas.microsoft.com/office/drawing/2010/main" Requires="a14">
        <xdr:graphicFrame macro="">
          <xdr:nvGraphicFramePr>
            <xdr:cNvPr id="11" name="PRODUCT 1">
              <a:extLst>
                <a:ext uri="{FF2B5EF4-FFF2-40B4-BE49-F238E27FC236}">
                  <a16:creationId xmlns:a16="http://schemas.microsoft.com/office/drawing/2014/main" id="{7E233477-EB06-4D64-B430-D12FF83B6EF9}"/>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38100" y="1920240"/>
              <a:ext cx="1828800" cy="2910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38100</xdr:colOff>
      <xdr:row>10</xdr:row>
      <xdr:rowOff>83820</xdr:rowOff>
    </xdr:from>
    <xdr:to>
      <xdr:col>10</xdr:col>
      <xdr:colOff>365760</xdr:colOff>
      <xdr:row>26</xdr:row>
      <xdr:rowOff>91440</xdr:rowOff>
    </xdr:to>
    <xdr:sp macro="" textlink="">
      <xdr:nvSpPr>
        <xdr:cNvPr id="12" name="Rectangle: Rounded Corners 11">
          <a:extLst>
            <a:ext uri="{FF2B5EF4-FFF2-40B4-BE49-F238E27FC236}">
              <a16:creationId xmlns:a16="http://schemas.microsoft.com/office/drawing/2014/main" id="{25BECCF7-EFE5-4A95-9502-C7A53AE74105}"/>
            </a:ext>
          </a:extLst>
        </xdr:cNvPr>
        <xdr:cNvSpPr/>
      </xdr:nvSpPr>
      <xdr:spPr>
        <a:xfrm>
          <a:off x="1866900" y="1912620"/>
          <a:ext cx="4594860" cy="2933700"/>
        </a:xfrm>
        <a:prstGeom prst="roundRect">
          <a:avLst/>
        </a:prstGeom>
        <a:solidFill>
          <a:schemeClr val="bg1"/>
        </a:solidFill>
        <a:ln>
          <a:extLst>
            <a:ext uri="{C807C97D-BFC1-408E-A445-0C87EB9F89A2}">
              <ask:lineSketchStyleProps xmlns:ask="http://schemas.microsoft.com/office/drawing/2018/sketchyshapes">
                <ask:type>
                  <ask:lineSketchNone/>
                </ask:type>
              </ask:lineSketchStyleProps>
            </a:ext>
          </a:extLst>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b="1"/>
            <a:t>unit sold by product</a:t>
          </a:r>
        </a:p>
      </xdr:txBody>
    </xdr:sp>
    <xdr:clientData/>
  </xdr:twoCellAnchor>
  <xdr:twoCellAnchor>
    <xdr:from>
      <xdr:col>3</xdr:col>
      <xdr:colOff>53340</xdr:colOff>
      <xdr:row>12</xdr:row>
      <xdr:rowOff>99060</xdr:rowOff>
    </xdr:from>
    <xdr:to>
      <xdr:col>10</xdr:col>
      <xdr:colOff>167640</xdr:colOff>
      <xdr:row>26</xdr:row>
      <xdr:rowOff>0</xdr:rowOff>
    </xdr:to>
    <xdr:graphicFrame macro="">
      <xdr:nvGraphicFramePr>
        <xdr:cNvPr id="24" name="Chart 23">
          <a:extLst>
            <a:ext uri="{FF2B5EF4-FFF2-40B4-BE49-F238E27FC236}">
              <a16:creationId xmlns:a16="http://schemas.microsoft.com/office/drawing/2014/main" id="{AA951949-7643-4DBA-A333-D465FA8258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38100</xdr:colOff>
      <xdr:row>26</xdr:row>
      <xdr:rowOff>83820</xdr:rowOff>
    </xdr:from>
    <xdr:to>
      <xdr:col>10</xdr:col>
      <xdr:colOff>396240</xdr:colOff>
      <xdr:row>45</xdr:row>
      <xdr:rowOff>83820</xdr:rowOff>
    </xdr:to>
    <xdr:sp macro="" textlink="">
      <xdr:nvSpPr>
        <xdr:cNvPr id="26" name="Rectangle: Rounded Corners 25">
          <a:extLst>
            <a:ext uri="{FF2B5EF4-FFF2-40B4-BE49-F238E27FC236}">
              <a16:creationId xmlns:a16="http://schemas.microsoft.com/office/drawing/2014/main" id="{1B0C19EC-A2B1-426F-91D8-B63A9481A3E6}"/>
            </a:ext>
          </a:extLst>
        </xdr:cNvPr>
        <xdr:cNvSpPr/>
      </xdr:nvSpPr>
      <xdr:spPr>
        <a:xfrm>
          <a:off x="1866900" y="4838700"/>
          <a:ext cx="4625340" cy="3474720"/>
        </a:xfrm>
        <a:prstGeom prst="roundRect">
          <a:avLst/>
        </a:prstGeom>
        <a:solidFill>
          <a:schemeClr val="bg1"/>
        </a:solidFill>
        <a:ln>
          <a:extLst>
            <a:ext uri="{C807C97D-BFC1-408E-A445-0C87EB9F89A2}">
              <ask:lineSketchStyleProps xmlns:ask="http://schemas.microsoft.com/office/drawing/2018/sketchyshapes">
                <ask:type>
                  <ask:lineSketchNone/>
                </ask:type>
              </ask:lineSketchStyleProps>
            </a:ext>
          </a:extLst>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b="1"/>
            <a:t>unit sold by region</a:t>
          </a:r>
        </a:p>
      </xdr:txBody>
    </xdr:sp>
    <xdr:clientData/>
  </xdr:twoCellAnchor>
  <xdr:twoCellAnchor>
    <xdr:from>
      <xdr:col>3</xdr:col>
      <xdr:colOff>190500</xdr:colOff>
      <xdr:row>30</xdr:row>
      <xdr:rowOff>60960</xdr:rowOff>
    </xdr:from>
    <xdr:to>
      <xdr:col>10</xdr:col>
      <xdr:colOff>297180</xdr:colOff>
      <xdr:row>44</xdr:row>
      <xdr:rowOff>144780</xdr:rowOff>
    </xdr:to>
    <xdr:graphicFrame macro="">
      <xdr:nvGraphicFramePr>
        <xdr:cNvPr id="28" name="Chart 27">
          <a:extLst>
            <a:ext uri="{FF2B5EF4-FFF2-40B4-BE49-F238E27FC236}">
              <a16:creationId xmlns:a16="http://schemas.microsoft.com/office/drawing/2014/main" id="{5057663E-D6BF-48C1-B85B-2B7B33053C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396240</xdr:colOff>
      <xdr:row>26</xdr:row>
      <xdr:rowOff>76200</xdr:rowOff>
    </xdr:from>
    <xdr:to>
      <xdr:col>18</xdr:col>
      <xdr:colOff>571500</xdr:colOff>
      <xdr:row>45</xdr:row>
      <xdr:rowOff>76200</xdr:rowOff>
    </xdr:to>
    <xdr:sp macro="" textlink="">
      <xdr:nvSpPr>
        <xdr:cNvPr id="30" name="Rectangle: Rounded Corners 29">
          <a:extLst>
            <a:ext uri="{FF2B5EF4-FFF2-40B4-BE49-F238E27FC236}">
              <a16:creationId xmlns:a16="http://schemas.microsoft.com/office/drawing/2014/main" id="{60B2C1FE-102C-43D6-8CAD-CB8647D6EFB8}"/>
            </a:ext>
          </a:extLst>
        </xdr:cNvPr>
        <xdr:cNvSpPr/>
      </xdr:nvSpPr>
      <xdr:spPr>
        <a:xfrm>
          <a:off x="6492240" y="4831080"/>
          <a:ext cx="5052060" cy="3474720"/>
        </a:xfrm>
        <a:prstGeom prst="roundRect">
          <a:avLst/>
        </a:prstGeom>
        <a:noFill/>
        <a:ln>
          <a:noFill/>
          <a:extLst>
            <a:ext uri="{C807C97D-BFC1-408E-A445-0C87EB9F89A2}">
              <ask:lineSketchStyleProps xmlns:ask="http://schemas.microsoft.com/office/drawing/2018/sketchyshapes">
                <ask:type>
                  <ask:lineSketchNone/>
                </ask:type>
              </ask:lineSketchStyleProps>
            </a:ext>
          </a:extLst>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b="1"/>
            <a:t>unit sold by product</a:t>
          </a:r>
        </a:p>
      </xdr:txBody>
    </xdr:sp>
    <xdr:clientData/>
  </xdr:twoCellAnchor>
  <xdr:twoCellAnchor>
    <xdr:from>
      <xdr:col>10</xdr:col>
      <xdr:colOff>365760</xdr:colOff>
      <xdr:row>10</xdr:row>
      <xdr:rowOff>53340</xdr:rowOff>
    </xdr:from>
    <xdr:to>
      <xdr:col>18</xdr:col>
      <xdr:colOff>83820</xdr:colOff>
      <xdr:row>26</xdr:row>
      <xdr:rowOff>60960</xdr:rowOff>
    </xdr:to>
    <xdr:sp macro="" textlink="">
      <xdr:nvSpPr>
        <xdr:cNvPr id="33" name="Rectangle: Rounded Corners 32">
          <a:extLst>
            <a:ext uri="{FF2B5EF4-FFF2-40B4-BE49-F238E27FC236}">
              <a16:creationId xmlns:a16="http://schemas.microsoft.com/office/drawing/2014/main" id="{03554FE6-ED89-4280-82F9-EDC24BEAE49D}"/>
            </a:ext>
          </a:extLst>
        </xdr:cNvPr>
        <xdr:cNvSpPr/>
      </xdr:nvSpPr>
      <xdr:spPr>
        <a:xfrm>
          <a:off x="6461760" y="1882140"/>
          <a:ext cx="4594860" cy="2933700"/>
        </a:xfrm>
        <a:prstGeom prst="roundRect">
          <a:avLst/>
        </a:prstGeom>
        <a:noFill/>
        <a:ln>
          <a:noFill/>
          <a:extLst>
            <a:ext uri="{C807C97D-BFC1-408E-A445-0C87EB9F89A2}">
              <ask:lineSketchStyleProps xmlns:ask="http://schemas.microsoft.com/office/drawing/2018/sketchyshapes">
                <ask:type>
                  <ask:lineSketchNone/>
                </ask:type>
              </ask:lineSketchStyleProps>
            </a:ext>
          </a:extLst>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b="1"/>
            <a:t>unit sold by product</a:t>
          </a:r>
        </a:p>
      </xdr:txBody>
    </xdr:sp>
    <xdr:clientData/>
  </xdr:twoCellAnchor>
  <xdr:twoCellAnchor>
    <xdr:from>
      <xdr:col>11</xdr:col>
      <xdr:colOff>30480</xdr:colOff>
      <xdr:row>12</xdr:row>
      <xdr:rowOff>121920</xdr:rowOff>
    </xdr:from>
    <xdr:to>
      <xdr:col>17</xdr:col>
      <xdr:colOff>327660</xdr:colOff>
      <xdr:row>25</xdr:row>
      <xdr:rowOff>160020</xdr:rowOff>
    </xdr:to>
    <xdr:graphicFrame macro="">
      <xdr:nvGraphicFramePr>
        <xdr:cNvPr id="34" name="Chart 33">
          <a:extLst>
            <a:ext uri="{FF2B5EF4-FFF2-40B4-BE49-F238E27FC236}">
              <a16:creationId xmlns:a16="http://schemas.microsoft.com/office/drawing/2014/main" id="{8529B6D4-D70E-45C7-867A-66A21B6ABE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411480</xdr:colOff>
      <xdr:row>27</xdr:row>
      <xdr:rowOff>121920</xdr:rowOff>
    </xdr:from>
    <xdr:to>
      <xdr:col>18</xdr:col>
      <xdr:colOff>403860</xdr:colOff>
      <xdr:row>44</xdr:row>
      <xdr:rowOff>38100</xdr:rowOff>
    </xdr:to>
    <xdr:graphicFrame macro="">
      <xdr:nvGraphicFramePr>
        <xdr:cNvPr id="35" name="Chart 34">
          <a:extLst>
            <a:ext uri="{FF2B5EF4-FFF2-40B4-BE49-F238E27FC236}">
              <a16:creationId xmlns:a16="http://schemas.microsoft.com/office/drawing/2014/main" id="{FE116B9A-2ADC-4A90-94E6-6F189A5472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NKAR" refreshedDate="45932.879204629629" createdVersion="8" refreshedVersion="8" minRefreshableVersion="3" recordCount="16" xr:uid="{995D0E3A-8738-41BC-8B37-6CD692EA4E59}">
  <cacheSource type="worksheet">
    <worksheetSource ref="A1:D17" sheet="pivot table,v14"/>
  </cacheSource>
  <cacheFields count="4">
    <cacheField name="SALESPERSON" numFmtId="0">
      <sharedItems count="4">
        <s v="shankar"/>
        <s v="vicky"/>
        <s v="sanjay"/>
        <s v="sudharsan"/>
      </sharedItems>
    </cacheField>
    <cacheField name="REGION" numFmtId="0">
      <sharedItems count="4">
        <s v="East"/>
        <s v="weat"/>
        <s v="South"/>
        <s v="North"/>
      </sharedItems>
    </cacheField>
    <cacheField name="ORDERS" numFmtId="0">
      <sharedItems containsSemiMixedTypes="0" containsString="0" containsNumber="1" containsInteger="1" minValue="46" maxValue="532353"/>
    </cacheField>
    <cacheField name="TOTAL SALES" numFmtId="0">
      <sharedItems containsSemiMixedTypes="0" containsString="0" containsNumber="1" containsInteger="1" minValue="32" maxValue="3757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NKAR" refreshedDate="45932.879665046297" createdVersion="8" refreshedVersion="8" minRefreshableVersion="3" recordCount="16" xr:uid="{541D41EE-7DDE-4171-8F17-F56EEBA50759}">
  <cacheSource type="worksheet">
    <worksheetSource ref="A1:D17" sheet="pivot table,v14"/>
  </cacheSource>
  <cacheFields count="4">
    <cacheField name="SALESPERSON" numFmtId="0">
      <sharedItems count="4">
        <s v="shankar"/>
        <s v="vicky"/>
        <s v="sanjay"/>
        <s v="sudharsan"/>
      </sharedItems>
    </cacheField>
    <cacheField name="REGION" numFmtId="0">
      <sharedItems count="4">
        <s v="East"/>
        <s v="weat"/>
        <s v="South"/>
        <s v="North"/>
      </sharedItems>
    </cacheField>
    <cacheField name="ORDERS" numFmtId="0">
      <sharedItems containsSemiMixedTypes="0" containsString="0" containsNumber="1" containsInteger="1" minValue="46" maxValue="532353"/>
    </cacheField>
    <cacheField name="TOTAL SALES" numFmtId="0">
      <sharedItems containsSemiMixedTypes="0" containsString="0" containsNumber="1" containsInteger="1" minValue="32" maxValue="3757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NKAR" refreshedDate="45936.831023842591" createdVersion="8" refreshedVersion="8" minRefreshableVersion="3" recordCount="21" xr:uid="{5187B2AA-BA12-4801-BA31-731EFC4F8FC4}">
  <cacheSource type="worksheet">
    <worksheetSource name="Table9"/>
  </cacheSource>
  <cacheFields count="9">
    <cacheField name="DATA" numFmtId="14">
      <sharedItems containsSemiMixedTypes="0" containsNonDate="0" containsDate="1" containsString="0" minDate="2025-01-01T00:00:00" maxDate="2025-01-22T00:00:00"/>
    </cacheField>
    <cacheField name="SALES PERSON" numFmtId="0">
      <sharedItems count="21">
        <s v="Shankar"/>
        <s v="sanjay"/>
        <s v="vicky"/>
        <s v="ram"/>
        <s v="sudha"/>
        <s v="vikram"/>
        <s v="thilip"/>
        <s v="perumal"/>
        <s v="gokul"/>
        <s v="dhil"/>
        <s v="vijay"/>
        <s v="suriya"/>
        <s v="madhavan"/>
        <s v="kali"/>
        <s v="rajini"/>
        <s v="rani"/>
        <s v="raga"/>
        <s v="roman"/>
        <s v="regions"/>
        <s v="villan"/>
        <s v="hero"/>
      </sharedItems>
    </cacheField>
    <cacheField name="REGION" numFmtId="0">
      <sharedItems count="4">
        <s v="NORTH"/>
        <s v="SOUTH"/>
        <s v="EAST"/>
        <s v="WEST"/>
      </sharedItems>
    </cacheField>
    <cacheField name="PRODUCT" numFmtId="0">
      <sharedItems count="9">
        <s v="tent"/>
        <s v="blender"/>
        <s v="action figure"/>
        <s v="novel"/>
        <s v="sneakers"/>
        <s v="oill"/>
        <s v="sugar"/>
        <s v="soap"/>
        <s v="sapies"/>
      </sharedItems>
    </cacheField>
    <cacheField name="UNITS SOLD" numFmtId="0">
      <sharedItems containsSemiMixedTypes="0" containsString="0" containsNumber="1" containsInteger="1" minValue="3" maxValue="84"/>
    </cacheField>
    <cacheField name="UNIT PRICE " numFmtId="0">
      <sharedItems containsSemiMixedTypes="0" containsString="0" containsNumber="1" containsInteger="1" minValue="1500" maxValue="9272"/>
    </cacheField>
    <cacheField name="COST OF GOODS" numFmtId="0">
      <sharedItems containsSemiMixedTypes="0" containsString="0" containsNumber="1" containsInteger="1" minValue="2000" maxValue="8076"/>
    </cacheField>
    <cacheField name="TOTAL SALES" numFmtId="0">
      <sharedItems containsSemiMixedTypes="0" containsString="0" containsNumber="1" containsInteger="1" minValue="535" maxValue="317883"/>
    </cacheField>
    <cacheField name="PROFIT" numFmtId="0">
      <sharedItems containsSemiMixedTypes="0" containsString="0" containsNumber="1" containsInteger="1" minValue="-613471" maxValue="296658"/>
    </cacheField>
  </cacheFields>
  <extLst>
    <ext xmlns:x14="http://schemas.microsoft.com/office/spreadsheetml/2009/9/main" uri="{725AE2AE-9491-48be-B2B4-4EB974FC3084}">
      <x14:pivotCacheDefinition pivotCacheId="18763815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x v="0"/>
    <x v="0"/>
    <n v="24324"/>
    <n v="535"/>
  </r>
  <r>
    <x v="0"/>
    <x v="1"/>
    <n v="55"/>
    <n v="3632"/>
  </r>
  <r>
    <x v="0"/>
    <x v="2"/>
    <n v="3455"/>
    <n v="255"/>
  </r>
  <r>
    <x v="0"/>
    <x v="3"/>
    <n v="3523"/>
    <n v="5566"/>
  </r>
  <r>
    <x v="1"/>
    <x v="0"/>
    <n v="532353"/>
    <n v="455"/>
  </r>
  <r>
    <x v="1"/>
    <x v="1"/>
    <n v="554"/>
    <n v="32"/>
  </r>
  <r>
    <x v="1"/>
    <x v="2"/>
    <n v="686"/>
    <n v="145"/>
  </r>
  <r>
    <x v="1"/>
    <x v="3"/>
    <n v="46"/>
    <n v="66"/>
  </r>
  <r>
    <x v="2"/>
    <x v="0"/>
    <n v="997"/>
    <n v="2256"/>
  </r>
  <r>
    <x v="2"/>
    <x v="1"/>
    <n v="4334"/>
    <n v="2178"/>
  </r>
  <r>
    <x v="2"/>
    <x v="3"/>
    <n v="646"/>
    <n v="8864"/>
  </r>
  <r>
    <x v="2"/>
    <x v="2"/>
    <n v="446"/>
    <n v="5578"/>
  </r>
  <r>
    <x v="3"/>
    <x v="0"/>
    <n v="566"/>
    <n v="457"/>
  </r>
  <r>
    <x v="3"/>
    <x v="1"/>
    <n v="464"/>
    <n v="78"/>
  </r>
  <r>
    <x v="3"/>
    <x v="2"/>
    <n v="664"/>
    <n v="478"/>
  </r>
  <r>
    <x v="3"/>
    <x v="3"/>
    <n v="646"/>
    <n v="3757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x v="0"/>
    <x v="0"/>
    <n v="24324"/>
    <n v="535"/>
  </r>
  <r>
    <x v="0"/>
    <x v="1"/>
    <n v="55"/>
    <n v="3632"/>
  </r>
  <r>
    <x v="0"/>
    <x v="2"/>
    <n v="3455"/>
    <n v="255"/>
  </r>
  <r>
    <x v="0"/>
    <x v="3"/>
    <n v="3523"/>
    <n v="5566"/>
  </r>
  <r>
    <x v="1"/>
    <x v="0"/>
    <n v="532353"/>
    <n v="455"/>
  </r>
  <r>
    <x v="1"/>
    <x v="1"/>
    <n v="554"/>
    <n v="32"/>
  </r>
  <r>
    <x v="1"/>
    <x v="2"/>
    <n v="686"/>
    <n v="145"/>
  </r>
  <r>
    <x v="1"/>
    <x v="3"/>
    <n v="46"/>
    <n v="66"/>
  </r>
  <r>
    <x v="2"/>
    <x v="0"/>
    <n v="997"/>
    <n v="2256"/>
  </r>
  <r>
    <x v="2"/>
    <x v="1"/>
    <n v="4334"/>
    <n v="2178"/>
  </r>
  <r>
    <x v="2"/>
    <x v="3"/>
    <n v="646"/>
    <n v="8864"/>
  </r>
  <r>
    <x v="2"/>
    <x v="2"/>
    <n v="446"/>
    <n v="5578"/>
  </r>
  <r>
    <x v="3"/>
    <x v="0"/>
    <n v="566"/>
    <n v="457"/>
  </r>
  <r>
    <x v="3"/>
    <x v="1"/>
    <n v="464"/>
    <n v="78"/>
  </r>
  <r>
    <x v="3"/>
    <x v="2"/>
    <n v="664"/>
    <n v="478"/>
  </r>
  <r>
    <x v="3"/>
    <x v="3"/>
    <n v="646"/>
    <n v="3757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d v="2025-01-01T00:00:00"/>
    <x v="0"/>
    <x v="0"/>
    <x v="0"/>
    <n v="84"/>
    <n v="6000"/>
    <n v="4000"/>
    <n v="100000"/>
    <n v="-236000"/>
  </r>
  <r>
    <d v="2025-01-02T00:00:00"/>
    <x v="1"/>
    <x v="1"/>
    <x v="1"/>
    <n v="33"/>
    <n v="3500"/>
    <n v="2000"/>
    <n v="12213"/>
    <n v="-53787"/>
  </r>
  <r>
    <d v="2025-01-03T00:00:00"/>
    <x v="2"/>
    <x v="2"/>
    <x v="2"/>
    <n v="54"/>
    <n v="7000"/>
    <n v="4356"/>
    <n v="43536"/>
    <n v="-191688"/>
  </r>
  <r>
    <d v="2025-01-04T00:00:00"/>
    <x v="3"/>
    <x v="3"/>
    <x v="3"/>
    <n v="32"/>
    <n v="1500"/>
    <n v="7654"/>
    <n v="2455"/>
    <n v="-242473"/>
  </r>
  <r>
    <d v="2025-01-05T00:00:00"/>
    <x v="4"/>
    <x v="0"/>
    <x v="4"/>
    <n v="24"/>
    <n v="2300"/>
    <n v="2456"/>
    <n v="53984"/>
    <n v="-4960"/>
  </r>
  <r>
    <d v="2025-01-06T00:00:00"/>
    <x v="5"/>
    <x v="1"/>
    <x v="5"/>
    <n v="23"/>
    <n v="3500"/>
    <n v="7886"/>
    <n v="3235"/>
    <n v="-178143"/>
  </r>
  <r>
    <d v="2025-01-07T00:00:00"/>
    <x v="6"/>
    <x v="2"/>
    <x v="6"/>
    <n v="56"/>
    <n v="7800"/>
    <n v="6542"/>
    <n v="3556"/>
    <n v="-362796"/>
  </r>
  <r>
    <d v="2025-01-08T00:00:00"/>
    <x v="7"/>
    <x v="3"/>
    <x v="7"/>
    <n v="67"/>
    <n v="6578"/>
    <n v="5689"/>
    <n v="46453"/>
    <n v="-334710"/>
  </r>
  <r>
    <d v="2025-01-09T00:00:00"/>
    <x v="8"/>
    <x v="0"/>
    <x v="8"/>
    <n v="77"/>
    <n v="9272"/>
    <n v="8076"/>
    <n v="8381"/>
    <n v="-613471"/>
  </r>
  <r>
    <d v="2025-01-10T00:00:00"/>
    <x v="9"/>
    <x v="1"/>
    <x v="0"/>
    <n v="8"/>
    <n v="3830"/>
    <n v="5632"/>
    <n v="65637"/>
    <n v="20581"/>
  </r>
  <r>
    <d v="2025-01-11T00:00:00"/>
    <x v="10"/>
    <x v="2"/>
    <x v="1"/>
    <n v="6"/>
    <n v="4849"/>
    <n v="7742"/>
    <n v="3719"/>
    <n v="-42733"/>
  </r>
  <r>
    <d v="2025-01-12T00:00:00"/>
    <x v="11"/>
    <x v="3"/>
    <x v="2"/>
    <n v="75"/>
    <n v="4850"/>
    <n v="7998"/>
    <n v="3170"/>
    <n v="-596680"/>
  </r>
  <r>
    <d v="2025-01-13T00:00:00"/>
    <x v="12"/>
    <x v="0"/>
    <x v="3"/>
    <n v="44"/>
    <n v="4851"/>
    <n v="2153"/>
    <n v="4849"/>
    <n v="-89883"/>
  </r>
  <r>
    <d v="2025-01-14T00:00:00"/>
    <x v="13"/>
    <x v="1"/>
    <x v="4"/>
    <n v="3"/>
    <n v="4852"/>
    <n v="6400"/>
    <n v="2173"/>
    <n v="-17027"/>
  </r>
  <r>
    <d v="2025-01-15T00:00:00"/>
    <x v="14"/>
    <x v="2"/>
    <x v="5"/>
    <n v="5"/>
    <n v="4853"/>
    <n v="4245"/>
    <n v="317883"/>
    <n v="296658"/>
  </r>
  <r>
    <d v="2025-01-16T00:00:00"/>
    <x v="15"/>
    <x v="3"/>
    <x v="6"/>
    <n v="67"/>
    <n v="4854"/>
    <n v="5632"/>
    <n v="183900"/>
    <n v="-193444"/>
  </r>
  <r>
    <d v="2025-01-17T00:00:00"/>
    <x v="16"/>
    <x v="0"/>
    <x v="7"/>
    <n v="77"/>
    <n v="4855"/>
    <n v="5676"/>
    <n v="44444"/>
    <n v="-392608"/>
  </r>
  <r>
    <d v="2025-01-18T00:00:00"/>
    <x v="17"/>
    <x v="1"/>
    <x v="8"/>
    <n v="8"/>
    <n v="4856"/>
    <n v="5622"/>
    <n v="535"/>
    <n v="-44441"/>
  </r>
  <r>
    <d v="2025-01-19T00:00:00"/>
    <x v="18"/>
    <x v="2"/>
    <x v="0"/>
    <n v="38"/>
    <n v="4857"/>
    <n v="6462"/>
    <n v="25666"/>
    <n v="-219890"/>
  </r>
  <r>
    <d v="2025-01-20T00:00:00"/>
    <x v="19"/>
    <x v="3"/>
    <x v="1"/>
    <n v="34"/>
    <n v="4858"/>
    <n v="5447"/>
    <n v="25667"/>
    <n v="-159531"/>
  </r>
  <r>
    <d v="2025-01-21T00:00:00"/>
    <x v="20"/>
    <x v="0"/>
    <x v="2"/>
    <n v="35"/>
    <n v="4859"/>
    <n v="7434"/>
    <n v="25668"/>
    <n v="-2345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F3DC2E-1D2B-4E4A-B3CE-D580939D027A}"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4" firstHeaderRow="0" firstDataRow="1" firstDataCol="1"/>
  <pivotFields count="4">
    <pivotField axis="axisRow" showAll="0">
      <items count="5">
        <item x="2"/>
        <item x="0"/>
        <item x="3"/>
        <item x="1"/>
        <item t="default"/>
      </items>
    </pivotField>
    <pivotField axis="axisRow" showAll="0">
      <items count="5">
        <item x="0"/>
        <item x="3"/>
        <item x="2"/>
        <item x="1"/>
        <item t="default"/>
      </items>
    </pivotField>
    <pivotField dataField="1" showAll="0"/>
    <pivotField dataField="1" showAll="0"/>
  </pivotFields>
  <rowFields count="2">
    <field x="1"/>
    <field x="0"/>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2"/>
  </colFields>
  <colItems count="2">
    <i>
      <x/>
    </i>
    <i i="1">
      <x v="1"/>
    </i>
  </colItems>
  <dataFields count="2">
    <dataField name="Sum of ORDERS" fld="2" baseField="0" baseItem="0"/>
    <dataField name="Sum of TOTAL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B0F77A-2E03-4E57-9AC9-466E3939D4F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O8" firstHeaderRow="1" firstDataRow="3" firstDataCol="1"/>
  <pivotFields count="4">
    <pivotField axis="axisRow" showAll="0">
      <items count="5">
        <item x="2"/>
        <item x="0"/>
        <item x="3"/>
        <item x="1"/>
        <item t="default"/>
      </items>
    </pivotField>
    <pivotField axis="axisCol" showAll="0">
      <items count="5">
        <item x="0"/>
        <item x="3"/>
        <item x="2"/>
        <item x="1"/>
        <item t="default"/>
      </items>
    </pivotField>
    <pivotField dataField="1" showAll="0"/>
    <pivotField dataField="1" showAll="0"/>
  </pivotFields>
  <rowFields count="1">
    <field x="0"/>
  </rowFields>
  <rowItems count="5">
    <i>
      <x/>
    </i>
    <i>
      <x v="1"/>
    </i>
    <i>
      <x v="2"/>
    </i>
    <i>
      <x v="3"/>
    </i>
    <i t="grand">
      <x/>
    </i>
  </rowItems>
  <colFields count="2">
    <field x="1"/>
    <field x="-2"/>
  </colFields>
  <colItems count="10">
    <i>
      <x/>
      <x/>
    </i>
    <i r="1" i="1">
      <x v="1"/>
    </i>
    <i>
      <x v="1"/>
      <x/>
    </i>
    <i r="1" i="1">
      <x v="1"/>
    </i>
    <i>
      <x v="2"/>
      <x/>
    </i>
    <i r="1" i="1">
      <x v="1"/>
    </i>
    <i>
      <x v="3"/>
      <x/>
    </i>
    <i r="1" i="1">
      <x v="1"/>
    </i>
    <i t="grand">
      <x/>
    </i>
    <i t="grand" i="1">
      <x/>
    </i>
  </colItems>
  <dataFields count="2">
    <dataField name="Sum of TOTAL SALES" fld="3" baseField="0" baseItem="0"/>
    <dataField name="Sum of ORDER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6BD72D-6240-4273-A2DC-4419FB66E222}"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4:L14" firstHeaderRow="1" firstDataRow="1" firstDataCol="1"/>
  <pivotFields count="9">
    <pivotField numFmtId="14" showAll="0"/>
    <pivotField showAll="0"/>
    <pivotField showAll="0">
      <items count="5">
        <item x="2"/>
        <item x="0"/>
        <item x="1"/>
        <item x="3"/>
        <item t="default"/>
      </items>
    </pivotField>
    <pivotField axis="axisRow" showAll="0">
      <items count="10">
        <item x="2"/>
        <item x="1"/>
        <item x="3"/>
        <item x="5"/>
        <item x="8"/>
        <item x="4"/>
        <item x="7"/>
        <item x="6"/>
        <item x="0"/>
        <item t="default"/>
      </items>
    </pivotField>
    <pivotField dataField="1" showAll="0"/>
    <pivotField showAll="0"/>
    <pivotField showAll="0"/>
    <pivotField showAll="0"/>
    <pivotField showAll="0"/>
  </pivotFields>
  <rowFields count="1">
    <field x="3"/>
  </rowFields>
  <rowItems count="10">
    <i>
      <x/>
    </i>
    <i>
      <x v="1"/>
    </i>
    <i>
      <x v="2"/>
    </i>
    <i>
      <x v="3"/>
    </i>
    <i>
      <x v="4"/>
    </i>
    <i>
      <x v="5"/>
    </i>
    <i>
      <x v="6"/>
    </i>
    <i>
      <x v="7"/>
    </i>
    <i>
      <x v="8"/>
    </i>
    <i t="grand">
      <x/>
    </i>
  </rowItems>
  <colItems count="1">
    <i/>
  </colItems>
  <dataFields count="1">
    <dataField name="Sum of UNITS SOLD" fld="4" baseField="0" baseItem="0"/>
  </dataField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0" format="6">
      <pivotArea type="data" outline="0" fieldPosition="0">
        <references count="2">
          <reference field="4294967294" count="1" selected="0">
            <x v="0"/>
          </reference>
          <reference field="3" count="1" selected="0">
            <x v="5"/>
          </reference>
        </references>
      </pivotArea>
    </chartFormat>
    <chartFormat chart="0" format="7">
      <pivotArea type="data" outline="0" fieldPosition="0">
        <references count="2">
          <reference field="4294967294" count="1" selected="0">
            <x v="0"/>
          </reference>
          <reference field="3" count="1" selected="0">
            <x v="6"/>
          </reference>
        </references>
      </pivotArea>
    </chartFormat>
    <chartFormat chart="0" format="8">
      <pivotArea type="data" outline="0" fieldPosition="0">
        <references count="2">
          <reference field="4294967294" count="1" selected="0">
            <x v="0"/>
          </reference>
          <reference field="3" count="1" selected="0">
            <x v="7"/>
          </reference>
        </references>
      </pivotArea>
    </chartFormat>
    <chartFormat chart="0" format="9">
      <pivotArea type="data" outline="0" fieldPosition="0">
        <references count="2">
          <reference field="4294967294" count="1" selected="0">
            <x v="0"/>
          </reference>
          <reference field="3" count="1" selected="0">
            <x v="8"/>
          </reference>
        </references>
      </pivotArea>
    </chartFormat>
    <chartFormat chart="4" format="20" series="1">
      <pivotArea type="data" outline="0" fieldPosition="0">
        <references count="1">
          <reference field="4294967294" count="1" selected="0">
            <x v="0"/>
          </reference>
        </references>
      </pivotArea>
    </chartFormat>
    <chartFormat chart="4" format="21">
      <pivotArea type="data" outline="0" fieldPosition="0">
        <references count="2">
          <reference field="4294967294" count="1" selected="0">
            <x v="0"/>
          </reference>
          <reference field="3" count="1" selected="0">
            <x v="0"/>
          </reference>
        </references>
      </pivotArea>
    </chartFormat>
    <chartFormat chart="4" format="22">
      <pivotArea type="data" outline="0" fieldPosition="0">
        <references count="2">
          <reference field="4294967294" count="1" selected="0">
            <x v="0"/>
          </reference>
          <reference field="3" count="1" selected="0">
            <x v="1"/>
          </reference>
        </references>
      </pivotArea>
    </chartFormat>
    <chartFormat chart="4" format="23">
      <pivotArea type="data" outline="0" fieldPosition="0">
        <references count="2">
          <reference field="4294967294" count="1" selected="0">
            <x v="0"/>
          </reference>
          <reference field="3" count="1" selected="0">
            <x v="2"/>
          </reference>
        </references>
      </pivotArea>
    </chartFormat>
    <chartFormat chart="4" format="24">
      <pivotArea type="data" outline="0" fieldPosition="0">
        <references count="2">
          <reference field="4294967294" count="1" selected="0">
            <x v="0"/>
          </reference>
          <reference field="3" count="1" selected="0">
            <x v="3"/>
          </reference>
        </references>
      </pivotArea>
    </chartFormat>
    <chartFormat chart="4" format="25">
      <pivotArea type="data" outline="0" fieldPosition="0">
        <references count="2">
          <reference field="4294967294" count="1" selected="0">
            <x v="0"/>
          </reference>
          <reference field="3" count="1" selected="0">
            <x v="4"/>
          </reference>
        </references>
      </pivotArea>
    </chartFormat>
    <chartFormat chart="4" format="26">
      <pivotArea type="data" outline="0" fieldPosition="0">
        <references count="2">
          <reference field="4294967294" count="1" selected="0">
            <x v="0"/>
          </reference>
          <reference field="3" count="1" selected="0">
            <x v="5"/>
          </reference>
        </references>
      </pivotArea>
    </chartFormat>
    <chartFormat chart="4" format="27">
      <pivotArea type="data" outline="0" fieldPosition="0">
        <references count="2">
          <reference field="4294967294" count="1" selected="0">
            <x v="0"/>
          </reference>
          <reference field="3" count="1" selected="0">
            <x v="6"/>
          </reference>
        </references>
      </pivotArea>
    </chartFormat>
    <chartFormat chart="4" format="28">
      <pivotArea type="data" outline="0" fieldPosition="0">
        <references count="2">
          <reference field="4294967294" count="1" selected="0">
            <x v="0"/>
          </reference>
          <reference field="3" count="1" selected="0">
            <x v="7"/>
          </reference>
        </references>
      </pivotArea>
    </chartFormat>
    <chartFormat chart="4" format="29">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9AD59F-B0BB-4E7A-8FA5-50B23DE8D208}"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H4" firstHeaderRow="1" firstDataRow="1" firstDataCol="1"/>
  <pivotFields count="9">
    <pivotField numFmtId="14" showAll="0"/>
    <pivotField axis="axisRow" showAll="0">
      <items count="22">
        <item h="1" x="9"/>
        <item h="1" x="8"/>
        <item h="1" x="20"/>
        <item h="1" x="13"/>
        <item h="1" x="12"/>
        <item h="1" x="7"/>
        <item h="1" x="16"/>
        <item h="1" x="14"/>
        <item h="1" x="3"/>
        <item h="1" x="15"/>
        <item h="1" x="18"/>
        <item h="1" x="17"/>
        <item h="1" x="1"/>
        <item h="1" x="0"/>
        <item h="1" x="4"/>
        <item h="1" x="11"/>
        <item h="1" x="6"/>
        <item h="1" x="2"/>
        <item h="1" x="10"/>
        <item x="5"/>
        <item h="1" x="19"/>
        <item t="default"/>
      </items>
    </pivotField>
    <pivotField showAll="0">
      <items count="5">
        <item x="2"/>
        <item x="0"/>
        <item x="1"/>
        <item x="3"/>
        <item t="default"/>
      </items>
    </pivotField>
    <pivotField showAll="0">
      <items count="10">
        <item h="1" x="2"/>
        <item h="1" x="1"/>
        <item x="3"/>
        <item h="1" x="5"/>
        <item h="1" x="8"/>
        <item h="1" x="4"/>
        <item h="1" x="7"/>
        <item h="1" x="6"/>
        <item h="1" x="0"/>
        <item t="default"/>
      </items>
    </pivotField>
    <pivotField showAll="0"/>
    <pivotField showAll="0"/>
    <pivotField showAll="0"/>
    <pivotField dataField="1" showAll="0"/>
    <pivotField showAll="0"/>
  </pivotFields>
  <rowFields count="1">
    <field x="1"/>
  </rowFields>
  <rowItems count="1">
    <i t="grand">
      <x/>
    </i>
  </rowItems>
  <colItems count="1">
    <i/>
  </colItems>
  <dataFields count="1">
    <dataField name="Sum of TOTAL SALES" fld="7" baseField="0" baseItem="0" numFmtId="44"/>
  </dataFields>
  <formats count="1">
    <format dxfId="1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205106-08E5-4D30-AF80-FBAC118B7D31}"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4" firstHeaderRow="1" firstDataRow="1" firstDataCol="1"/>
  <pivotFields count="9">
    <pivotField numFmtId="14" showAll="0"/>
    <pivotField showAll="0">
      <items count="22">
        <item h="1" x="9"/>
        <item h="1" x="8"/>
        <item h="1" x="20"/>
        <item h="1" x="13"/>
        <item h="1" x="12"/>
        <item h="1" x="7"/>
        <item h="1" x="16"/>
        <item h="1" x="14"/>
        <item h="1" x="3"/>
        <item h="1" x="15"/>
        <item h="1" x="18"/>
        <item h="1" x="17"/>
        <item h="1" x="1"/>
        <item h="1" x="0"/>
        <item h="1" x="4"/>
        <item h="1" x="11"/>
        <item h="1" x="6"/>
        <item h="1" x="2"/>
        <item h="1" x="10"/>
        <item x="5"/>
        <item h="1" x="19"/>
        <item t="default"/>
      </items>
    </pivotField>
    <pivotField showAll="0">
      <items count="5">
        <item x="2"/>
        <item x="0"/>
        <item x="1"/>
        <item x="3"/>
        <item t="default"/>
      </items>
    </pivotField>
    <pivotField axis="axisRow" showAll="0">
      <items count="10">
        <item h="1" x="2"/>
        <item h="1" x="1"/>
        <item x="3"/>
        <item h="1" x="5"/>
        <item h="1" x="8"/>
        <item h="1" x="4"/>
        <item h="1" x="7"/>
        <item h="1" x="6"/>
        <item h="1" x="0"/>
        <item t="default"/>
      </items>
    </pivotField>
    <pivotField showAll="0"/>
    <pivotField showAll="0"/>
    <pivotField showAll="0"/>
    <pivotField dataField="1" showAll="0"/>
    <pivotField showAll="0"/>
  </pivotFields>
  <rowFields count="1">
    <field x="3"/>
  </rowFields>
  <rowItems count="1">
    <i t="grand">
      <x/>
    </i>
  </rowItems>
  <colItems count="1">
    <i/>
  </colItems>
  <dataFields count="1">
    <dataField name="Sum of TOTAL SALES" fld="7" baseField="3" baseItem="1" numFmtId="166"/>
  </dataFields>
  <formats count="1">
    <format dxfId="1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D79E20-64EE-4BF3-B112-34F4F980C02B}"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4" firstHeaderRow="1" firstDataRow="1" firstDataCol="1"/>
  <pivotFields count="9">
    <pivotField numFmtId="14" showAll="0"/>
    <pivotField showAll="0">
      <items count="22">
        <item h="1" x="9"/>
        <item h="1" x="8"/>
        <item h="1" x="20"/>
        <item h="1" x="13"/>
        <item h="1" x="12"/>
        <item h="1" x="7"/>
        <item h="1" x="16"/>
        <item h="1" x="14"/>
        <item h="1" x="3"/>
        <item h="1" x="15"/>
        <item h="1" x="18"/>
        <item h="1" x="17"/>
        <item h="1" x="1"/>
        <item h="1" x="0"/>
        <item h="1" x="4"/>
        <item h="1" x="11"/>
        <item h="1" x="6"/>
        <item h="1" x="2"/>
        <item h="1" x="10"/>
        <item x="5"/>
        <item h="1" x="19"/>
        <item t="default"/>
      </items>
    </pivotField>
    <pivotField axis="axisRow" showAll="0">
      <items count="5">
        <item h="1" x="2"/>
        <item h="1" x="0"/>
        <item h="1" x="1"/>
        <item x="3"/>
        <item t="default"/>
      </items>
    </pivotField>
    <pivotField showAll="0">
      <items count="10">
        <item h="1" x="2"/>
        <item h="1" x="1"/>
        <item x="3"/>
        <item h="1" x="5"/>
        <item h="1" x="8"/>
        <item h="1" x="4"/>
        <item h="1" x="7"/>
        <item h="1" x="6"/>
        <item h="1" x="0"/>
        <item t="default"/>
      </items>
    </pivotField>
    <pivotField showAll="0"/>
    <pivotField showAll="0"/>
    <pivotField showAll="0"/>
    <pivotField dataField="1" showAll="0"/>
    <pivotField showAll="0"/>
  </pivotFields>
  <rowFields count="1">
    <field x="2"/>
  </rowFields>
  <rowItems count="1">
    <i t="grand">
      <x/>
    </i>
  </rowItems>
  <colItems count="1">
    <i/>
  </colItems>
  <dataFields count="1">
    <dataField name="Sum of TOTAL SALES" fld="7" baseField="0" baseItem="0" numFmtId="44"/>
  </dataFields>
  <formats count="1">
    <format dxfId="20">
      <pivotArea outline="0" collapsedLevelsAreSubtotals="1" fieldPosition="0"/>
    </format>
  </formats>
  <chartFormats count="6">
    <chartFormat chart="6" format="7" series="1">
      <pivotArea type="data" outline="0" fieldPosition="0">
        <references count="1">
          <reference field="4294967294" count="1" selected="0">
            <x v="0"/>
          </reference>
        </references>
      </pivotArea>
    </chartFormat>
    <chartFormat chart="6" format="8">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1">
          <reference field="4294967294" count="1" selected="0">
            <x v="0"/>
          </reference>
        </references>
      </pivotArea>
    </chartFormat>
    <chartFormat chart="0" format="9" series="1">
      <pivotArea type="data" outline="0" fieldPosition="0">
        <references count="1">
          <reference field="4294967294" count="1" selected="0">
            <x v="0"/>
          </reference>
        </references>
      </pivotArea>
    </chartFormat>
    <chartFormat chart="0" format="10">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94F7522C-21C3-4C5A-B866-0B27C9398478}" autoFormatId="16" applyNumberFormats="0" applyBorderFormats="0" applyFontFormats="0" applyPatternFormats="0" applyAlignmentFormats="0" applyWidthHeightFormats="0">
  <queryTableRefresh nextId="2">
    <queryTableFields count="1">
      <queryTableField id="1" name="Power Query" tableColumnId="1"/>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4</v>
    <v>8</v>
    <v>0</v>
    <v>5</v>
  </rv>
  <rv s="0">
    <v>1</v>
    <v>8</v>
    <v>0</v>
    <v>5</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CC4343A3-59C3-4FBF-824F-E7368D79B93A}" sourceName="SALES PERSON">
  <pivotTables>
    <pivotTable tabId="26" name="PivotTable4"/>
    <pivotTable tabId="26" name="PivotTable5"/>
    <pivotTable tabId="26" name="PivotTable6"/>
  </pivotTables>
  <data>
    <tabular pivotCacheId="1876381520">
      <items count="21">
        <i x="12"/>
        <i x="3"/>
        <i x="9" nd="1"/>
        <i x="8" nd="1"/>
        <i x="20" nd="1"/>
        <i x="13" nd="1"/>
        <i x="7" nd="1"/>
        <i x="16" nd="1"/>
        <i x="14" nd="1"/>
        <i x="15" nd="1"/>
        <i x="18" nd="1"/>
        <i x="17" nd="1"/>
        <i x="1" nd="1"/>
        <i x="0" nd="1"/>
        <i x="4" nd="1"/>
        <i x="11" nd="1"/>
        <i x="6" nd="1"/>
        <i x="2" nd="1"/>
        <i x="10" nd="1"/>
        <i x="5" s="1" nd="1"/>
        <i x="19"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CA7CC9C-4269-4D6A-9528-6BC7B139B820}" sourceName="REGION">
  <pivotTables>
    <pivotTable tabId="26" name="PivotTable4"/>
  </pivotTables>
  <data>
    <tabular pivotCacheId="1876381520">
      <items count="4">
        <i x="2" nd="1"/>
        <i x="0" nd="1"/>
        <i x="1" nd="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EF2F201-79D6-4C06-B0D4-20706F8A4E97}" sourceName="PRODUCT">
  <pivotTables>
    <pivotTable tabId="26" name="PivotTable4"/>
    <pivotTable tabId="26" name="PivotTable5"/>
    <pivotTable tabId="26" name="PivotTable6"/>
  </pivotTables>
  <data>
    <tabular pivotCacheId="1876381520">
      <items count="9">
        <i x="5"/>
        <i x="2" nd="1"/>
        <i x="1" nd="1"/>
        <i x="3" s="1" nd="1"/>
        <i x="8" nd="1"/>
        <i x="4" nd="1"/>
        <i x="7" nd="1"/>
        <i x="6" nd="1"/>
        <i x="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62DA14D7-8A02-4FDE-B980-61C1A54E7306}" cache="Slicer_SALES_PERSON" caption="SALES PERSON" rowHeight="247650"/>
  <slicer name="REGION" xr10:uid="{B0114E8B-0E8B-4C6B-B4E5-75AE365BE98A}" cache="Slicer_REGION" caption="REGION" columnCount="2" showCaption="0" rowHeight="247650"/>
  <slicer name="PRODUCT" xr10:uid="{1EE594ED-0151-4800-ABB2-B7FE3D8F4FDD}" cache="Slicer_PRODUCT" caption="PRODUCT"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1" xr10:uid="{AD2CB2AF-EC3F-4FB6-843F-CE09E935E042}" cache="Slicer_SALES_PERSON" caption="SALES PERSON" rowHeight="247650"/>
  <slicer name="REGION 1" xr10:uid="{FF327787-5A8E-40DC-8783-B80542ADF7A9}" cache="Slicer_REGION" caption="REGION" columnCount="2" showCaption="0" rowHeight="247650"/>
  <slicer name="PRODUCT 1" xr10:uid="{2A25C43C-1654-436D-B279-958522C7F719}" cache="Slicer_PRODUCT" caption="PRODUCT" rowHeight="24765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C0F5FDF-9AE1-4531-B188-9D86B53D6E45}" name="Table15" displayName="Table15" ref="A1:E6" totalsRowShown="0" headerRowDxfId="106">
  <autoFilter ref="A1:E6" xr:uid="{5C0F5FDF-9AE1-4531-B188-9D86B53D6E45}"/>
  <tableColumns count="5">
    <tableColumn id="1" xr3:uid="{BA8DE6E2-C115-4FA2-AF81-F081CCF375A9}" name="NAME"/>
    <tableColumn id="2" xr3:uid="{4E852E62-EBFD-4525-B36B-8D4A3450965B}" name="ITEMS"/>
    <tableColumn id="3" xr3:uid="{997DA3EF-3D54-43E9-B9F2-FAAD341C9285}" name="RATE"/>
    <tableColumn id="4" xr3:uid="{8EB61BBE-EA2D-4CE6-A1C4-4063EA7C5CB9}" name="QUANTITY" dataDxfId="105"/>
    <tableColumn id="5" xr3:uid="{53534EC4-FD88-439E-991F-977D3AF792E1}" name="AMOUNT" dataDxfId="10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1A0E34B-74A6-4103-8D08-6FDF73BDEEE9}" name="Table14" displayName="Table14" ref="A1:I13" totalsRowShown="0" headerRowDxfId="103">
  <autoFilter ref="A1:I13" xr:uid="{F1A0E34B-74A6-4103-8D08-6FDF73BDEEE9}"/>
  <tableColumns count="9">
    <tableColumn id="1" xr3:uid="{46C808D6-362C-4973-90F0-2D8033D424F4}" name="Column1" dataDxfId="102"/>
    <tableColumn id="2" xr3:uid="{5AA3D065-FE21-4CFD-8634-DEB5559BD9BB}" name="Column2"/>
    <tableColumn id="3" xr3:uid="{B502B1BD-1B95-46C9-92ED-B8CE18E9C9E3}" name="Column3" dataDxfId="101"/>
    <tableColumn id="4" xr3:uid="{B85B1B52-DD38-44E2-B082-DB94F33EB1DE}" name="Column4" dataDxfId="100"/>
    <tableColumn id="5" xr3:uid="{383ABF53-3EA8-4B76-A735-92F40E6CF297}" name="Column5">
      <calculatedColumnFormula>C2*D2</calculatedColumnFormula>
    </tableColumn>
    <tableColumn id="6" xr3:uid="{FD675C8D-2834-4020-88AE-6FD72CF20B89}" name="Column6">
      <calculatedColumnFormula>E2*$I$2</calculatedColumnFormula>
    </tableColumn>
    <tableColumn id="7" xr3:uid="{BEED4CA7-8B00-41D7-BA47-3588DAB26EFE}" name="Column7"/>
    <tableColumn id="8" xr3:uid="{CA38F5E4-EBDF-458A-B213-E5988E20145F}" name="Column8"/>
    <tableColumn id="9" xr3:uid="{1D517461-5576-4460-A8C8-18B538418A16}" name="Column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489EB7-1216-4FEE-972E-40DC7A7E3FE6}" name="Table1" displayName="Table1" ref="F1:F8" totalsRowShown="0" headerRowDxfId="99" dataDxfId="98">
  <autoFilter ref="F1:F8" xr:uid="{FB489EB7-1216-4FEE-972E-40DC7A7E3FE6}"/>
  <tableColumns count="1">
    <tableColumn id="1" xr3:uid="{FAB12621-4A9B-4AE3-B38B-EE4614343470}" name="Power Query" dataDxfId="9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B10F1FF-017C-4304-8617-9041EAB592F4}" name="Table1__2" displayName="Table1__2" ref="G1:G8" tableType="queryTable" totalsRowShown="0">
  <autoFilter ref="G1:G8" xr:uid="{BB10F1FF-017C-4304-8617-9041EAB592F4}"/>
  <tableColumns count="1">
    <tableColumn id="1" xr3:uid="{3E4E9215-EB95-4284-A311-C1D6DF96BC29}" uniqueName="1" name="Power Query" queryTableFieldId="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C1A0D2B-D9FD-45B4-93B3-4F9B936B0457}" name="Table13" displayName="Table13" ref="A1:C10" totalsRowShown="0" headerRowDxfId="96">
  <autoFilter ref="A1:C10" xr:uid="{7C1A0D2B-D9FD-45B4-93B3-4F9B936B0457}"/>
  <tableColumns count="3">
    <tableColumn id="1" xr3:uid="{3419C6CA-F1DB-4478-9687-7095E2F1B061}" name="Student Name"/>
    <tableColumn id="2" xr3:uid="{6534C2B8-C66D-4E5F-9E08-AD6C5A1D7689}" name="First name"/>
    <tableColumn id="3" xr3:uid="{53324DE3-84E0-4951-A31B-A4AACACAAA09}" name="Last nam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2EDCD26-7746-49C2-BC06-7081156996E2}" name="Table12" displayName="Table12" ref="A1:E10" totalsRowShown="0" headerRowDxfId="95">
  <autoFilter ref="A1:E10" xr:uid="{52EDCD26-7746-49C2-BC06-7081156996E2}"/>
  <tableColumns count="5">
    <tableColumn id="1" xr3:uid="{018780E5-E560-4308-87CC-77099A6A5A5A}" name="Title"/>
    <tableColumn id="2" xr3:uid="{BD0A46C9-BE27-4121-ADB1-72B200F95C08}" name="First Name"/>
    <tableColumn id="3" xr3:uid="{0574E80E-AC7F-4125-B421-1BFCE5A0A11D}" name="Last Name"/>
    <tableColumn id="4" xr3:uid="{6B99F1D9-F707-4B1C-8C49-D61DD516412D}" name="Employe Name">
      <calculatedColumnFormula>_xlfn.TEXTJOIN(" ",TRUE,A2:C2)</calculatedColumnFormula>
    </tableColumn>
    <tableColumn id="5" xr3:uid="{67D76289-C490-4908-9574-AFA217FBBEF4}" name="Email ID" dataCellStyle="Hyperlink"/>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834B40E-8928-49A3-8557-9C0CC145DD54}" name="Table11" displayName="Table11" ref="A1:E12" totalsRowShown="0">
  <autoFilter ref="A1:E12" xr:uid="{A834B40E-8928-49A3-8557-9C0CC145DD54}"/>
  <tableColumns count="5">
    <tableColumn id="1" xr3:uid="{F12A0F87-4B0C-4C0A-859B-503290E9618C}" name="Column1"/>
    <tableColumn id="2" xr3:uid="{0F296F83-5993-4784-B55C-40F0EEE05F43}" name="Column2"/>
    <tableColumn id="3" xr3:uid="{E65ECF6D-C44B-4A12-82D4-F263ABECD567}" name="Column3"/>
    <tableColumn id="4" xr3:uid="{F739F12E-A71D-4B6B-8244-8501242B5C5D}" name="Column4"/>
    <tableColumn id="5" xr3:uid="{C6C58CD2-070B-4B33-B163-D2AFB2BDA2A1}" name="Column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628E626-3743-442A-B8A5-4E447C3132B6}" name="Table10" displayName="Table10" ref="A1:I16" totalsRowShown="0">
  <autoFilter ref="A1:I16" xr:uid="{E628E626-3743-442A-B8A5-4E447C3132B6}"/>
  <tableColumns count="9">
    <tableColumn id="1" xr3:uid="{5E6CA98C-47B7-4365-BC26-21219C5DD580}" name="Column1"/>
    <tableColumn id="2" xr3:uid="{D8411998-CCE8-4D2D-B5DB-1B685E3E3FEC}" name="Column2"/>
    <tableColumn id="3" xr3:uid="{9C72B959-B77C-416E-8E68-EC9E64206996}" name="Column3"/>
    <tableColumn id="4" xr3:uid="{2D67170F-80D0-4D44-9A95-8688140C708D}" name="Column4"/>
    <tableColumn id="5" xr3:uid="{046304BE-225C-44BC-8E08-A33212480531}" name="Column5"/>
    <tableColumn id="6" xr3:uid="{4B1B66CE-37AF-459B-B26B-D2421369F0FD}" name="Column6" dataDxfId="94"/>
    <tableColumn id="7" xr3:uid="{44E77429-784E-4BAE-8DA2-17DC75AE64D1}" name="Column7"/>
    <tableColumn id="8" xr3:uid="{94BC309F-42EC-41E8-9178-D7D1747C8A88}" name="Column8"/>
    <tableColumn id="9" xr3:uid="{E2CF1675-C928-475A-9490-1F2B4BB2BF5C}" name="Column9"/>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85D659F-3175-4174-B66C-6C863BA92653}" name="Table4" displayName="Table4" ref="I1:I6" totalsRowShown="0" headerRowDxfId="93" dataDxfId="92">
  <autoFilter ref="I1:I6" xr:uid="{D85D659F-3175-4174-B66C-6C863BA92653}"/>
  <tableColumns count="1">
    <tableColumn id="1" xr3:uid="{17392954-B4EE-47E1-B5E1-0E34E4795196}" name="STATUS TABLE LIST" dataDxfId="91"/>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47002F1-5BE0-4136-8CD6-34C7A9C5A5CD}" name="Table8" displayName="Table8" ref="A1:L7" totalsRowShown="0" dataDxfId="87">
  <autoFilter ref="A1:L7" xr:uid="{C47002F1-5BE0-4136-8CD6-34C7A9C5A5CD}"/>
  <tableColumns count="12">
    <tableColumn id="1" xr3:uid="{83DCEAE1-4655-404C-B3B6-C668868A7C9E}" name="Column1"/>
    <tableColumn id="2" xr3:uid="{90E368C4-9768-491C-8865-CA264648580F}" name="Column2" dataDxfId="86"/>
    <tableColumn id="3" xr3:uid="{E5C068BF-B0D8-41AA-8188-C2CB5C5DAF0B}" name="Column3" dataDxfId="85"/>
    <tableColumn id="4" xr3:uid="{35A2B2FF-C6BD-41FB-B33A-0A0481D49A9C}" name="Column4" dataDxfId="84"/>
    <tableColumn id="5" xr3:uid="{294BB1EA-11D0-4DED-96DA-74907F7A7FE2}" name="SUBJECTS" dataDxfId="83"/>
    <tableColumn id="6" xr3:uid="{B37310D1-A0BB-4C0E-A9DC-EB5F5FB40A38}" name="Column5" dataDxfId="82"/>
    <tableColumn id="7" xr3:uid="{F9949BDF-AC81-4CE1-AFA5-DB42E48E5B9C}" name="Column6" dataDxfId="81"/>
    <tableColumn id="8" xr3:uid="{024E10E1-4CFE-415C-9A48-4618D22531CD}" name="Column7">
      <calculatedColumnFormula>SUM(C2:G2)</calculatedColumnFormula>
    </tableColumn>
    <tableColumn id="9" xr3:uid="{D956BA0F-0B7B-466D-98E5-DFEAD41921FE}" name="PROGRESS" dataDxfId="80">
      <calculatedColumnFormula>AVERAGE(H2,)</calculatedColumnFormula>
    </tableColumn>
    <tableColumn id="10" xr3:uid="{013B9907-F008-4E59-ADE7-06A11EDA0093}" name="Column8" dataDxfId="79">
      <calculatedColumnFormula>IF(AND(C2&gt;=35,D2&gt;=35,E2&gt;=35,F2&gt;=35,G2&gt;=35),"PASS","FAIL")</calculatedColumnFormula>
    </tableColumn>
    <tableColumn id="11" xr3:uid="{387C77E4-3423-4914-BA99-78998BB4AD55}" name="Column9" dataDxfId="78">
      <calculatedColumnFormula>RANK(H2,$H$3:$H$7,1)</calculatedColumnFormula>
    </tableColumn>
    <tableColumn id="12" xr3:uid="{6C87A479-AE87-42EA-87A2-A0D3197B4B3F}" name="Column10" dataDxfId="77">
      <calculatedColumnFormula>IF(I2&lt;=160,"A",IF(I2&gt;=130,"C",IF(I2&gt;=150,"B",IF(I2&gt;=163,"A",RANK(I2,$I$3:$I$7,0)))))</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90919DD-88F2-4BCA-B062-B8443D00343C}" name="Table6" displayName="Table6" ref="A1:M12" totalsRowShown="0" headerRowDxfId="76" dataDxfId="75">
  <autoFilter ref="A1:M12" xr:uid="{990919DD-88F2-4BCA-B062-B8443D00343C}">
    <filterColumn colId="1">
      <customFilters>
        <customFilter val="s*"/>
      </customFilters>
    </filterColumn>
  </autoFilter>
  <sortState xmlns:xlrd2="http://schemas.microsoft.com/office/spreadsheetml/2017/richdata2" ref="A2:M12">
    <sortCondition ref="B1:B12"/>
  </sortState>
  <tableColumns count="13">
    <tableColumn id="1" xr3:uid="{B4DE4072-8021-4BC5-8B17-A05D8E8F5137}" name="Roll  No"/>
    <tableColumn id="2" xr3:uid="{51BAB5D7-A157-4257-B7C4-57C3914B412B}" name="student Name"/>
    <tableColumn id="3" xr3:uid="{CB12A893-5400-4559-989A-C90486C9B67E}" name="Tamil" dataDxfId="74"/>
    <tableColumn id="4" xr3:uid="{4144D897-EE20-4995-926B-1CE54B26FBFF}" name="English" dataDxfId="73"/>
    <tableColumn id="5" xr3:uid="{80416653-494F-4D20-B027-6C16AD153485}" name="maths" dataDxfId="72"/>
    <tableColumn id="6" xr3:uid="{B4400E95-1AB1-4BF3-9F88-038EF3713BA3}" name="science" dataDxfId="71"/>
    <tableColumn id="7" xr3:uid="{B400046F-2A57-4483-85D1-9CFD11AA7B57}" name="social" dataDxfId="70"/>
    <tableColumn id="8" xr3:uid="{DA6B8851-4195-4BE7-B904-4E3439916D62}" name="Total" dataDxfId="69">
      <calculatedColumnFormula>SUM(C2:G2)</calculatedColumnFormula>
    </tableColumn>
    <tableColumn id="9" xr3:uid="{261D128C-E69D-4A34-BC61-2F23EB3F3A43}" name="Average">
      <calculatedColumnFormula>AVERAGE(H2)</calculatedColumnFormula>
    </tableColumn>
    <tableColumn id="10" xr3:uid="{27740FAD-80B2-48AD-AEE5-13C8DC9E9115}" name="Rusult" dataDxfId="68">
      <calculatedColumnFormula>IF(AND(C2&gt;=35,D2&gt;=35,E2&gt;=35,F2&gt;=35,G2&gt;=35),"PASS","FAIL")</calculatedColumnFormula>
    </tableColumn>
    <tableColumn id="11" xr3:uid="{93CC59BB-F67E-487C-A1E1-9FB01CFE03A0}" name="Rank" dataDxfId="67">
      <calculatedColumnFormula>_xlfn.RANK.EQ(H2,$H$2:$H$12)+COUNTIF(H2:H12,H2)-1</calculatedColumnFormula>
    </tableColumn>
    <tableColumn id="12" xr3:uid="{ED613457-7E64-447E-805F-4C2CC39B7092}" name="Grad" dataDxfId="66">
      <calculatedColumnFormula>IF(H2&gt;=350,"A+",IF(H2&gt;=330,"A",IF(H2&gt;=315,"B",IF(H2&gt;300,"C",IF(H2&gt;=270,"D",IF(H2&lt;=259,"NO GRAD"))))))</calculatedColumnFormula>
    </tableColumn>
    <tableColumn id="13" xr3:uid="{BC52443E-0A43-455A-ACF9-75418C12D244}" name="Mark issued" dataDxfId="65">
      <calculatedColumnFormula>NOW()</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2CAB4B1-1846-46C7-A195-B693FB98581B}" name="Table7" displayName="Table7" ref="A1:D17" totalsRowShown="0" headerRowDxfId="64" dataDxfId="63">
  <autoFilter ref="A1:D17" xr:uid="{52CAB4B1-1846-46C7-A195-B693FB98581B}"/>
  <tableColumns count="4">
    <tableColumn id="1" xr3:uid="{A986800E-2BC3-4B81-AC3A-F14CFB32A406}" name="SALESPERSON" dataDxfId="62"/>
    <tableColumn id="2" xr3:uid="{1D4B0BA0-0ABF-46E3-87DD-4C2B63737C3C}" name="REGION" dataDxfId="61"/>
    <tableColumn id="3" xr3:uid="{7751E266-D022-4BDE-BD48-2772689ED5DD}" name="ORDERS" dataDxfId="60"/>
    <tableColumn id="4" xr3:uid="{79226469-4D89-4398-9D71-604B705773C1}" name="TOTAL SALES" dataDxfId="59"/>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207AA36-7A32-45F3-9F43-62D1C039EB34}" name="Table5" displayName="Table5" ref="A1:F16" totalsRowShown="0">
  <autoFilter ref="A1:F16" xr:uid="{D207AA36-7A32-45F3-9F43-62D1C039EB34}"/>
  <tableColumns count="6">
    <tableColumn id="1" xr3:uid="{80A0359F-C942-4399-8DDC-F1DD2A3EBEC7}" name="Column1" dataDxfId="58"/>
    <tableColumn id="2" xr3:uid="{60AB7615-914C-45C2-8FA5-EC6D940511A8}" name="Column2" dataDxfId="57"/>
    <tableColumn id="3" xr3:uid="{EDA1CB2F-25EA-4BF6-9176-FABA109186E5}" name="Column3" dataDxfId="56"/>
    <tableColumn id="4" xr3:uid="{098C45A1-49D6-492A-A646-8DA285844638}" name="Column4" dataDxfId="55"/>
    <tableColumn id="6" xr3:uid="{592DB63F-E473-4F31-9DB7-67753ED15940}" name="Column6"/>
    <tableColumn id="10" xr3:uid="{D7AC6006-0EB6-43C8-B7CD-854B03D52004}" name="Column10" dataDxfId="54"/>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F5A226-68E6-4ECC-BFBD-58DE40B46DDA}" name="Table2" displayName="Table2" ref="A1:AI14" totalsRowShown="0" dataDxfId="53">
  <autoFilter ref="A1:AI14" xr:uid="{0FF5A226-68E6-4ECC-BFBD-58DE40B46DDA}"/>
  <tableColumns count="35">
    <tableColumn id="1" xr3:uid="{BC0D73BE-CB88-4374-9B1A-84CB72985087}" name="Column1"/>
    <tableColumn id="2" xr3:uid="{9AA3BD7F-9648-48D8-B940-284343A1BFB1}" name="Column2"/>
    <tableColumn id="3" xr3:uid="{C4C1D17D-67EE-46C5-A033-7ADADFA23621}" name="Column3"/>
    <tableColumn id="4" xr3:uid="{F01FC0B2-0EC3-4C96-B6B5-B9B4EE52F37A}" name="Column4" dataDxfId="52"/>
    <tableColumn id="5" xr3:uid="{AAEA7D72-5665-478D-B5D0-2982BCB890FF}" name="Column5" dataDxfId="51"/>
    <tableColumn id="6" xr3:uid="{AB9C31B6-21F8-434F-9729-2B04604B2382}" name="Column6" dataDxfId="50"/>
    <tableColumn id="7" xr3:uid="{0B1B57E2-2C4A-47E2-B54A-D32A9056A67F}" name="Column7" dataDxfId="49"/>
    <tableColumn id="8" xr3:uid="{F1E041C8-3CE0-44C1-BE6D-F9DAF2D1DAE3}" name="Column8" dataDxfId="48"/>
    <tableColumn id="9" xr3:uid="{1E28D401-B24E-4894-8D42-3F4BB6C289C3}" name="Column9" dataDxfId="47"/>
    <tableColumn id="10" xr3:uid="{95818F55-5FBF-4842-9E75-B1EAA75023CB}" name="Column10" dataDxfId="46"/>
    <tableColumn id="11" xr3:uid="{07807FC1-2E72-4249-B2F6-297875B3C014}" name="Column11" dataDxfId="45"/>
    <tableColumn id="12" xr3:uid="{FEA0BE53-A8C3-4CE8-9CFF-A80560F8F45A}" name="Column12" dataDxfId="44"/>
    <tableColumn id="13" xr3:uid="{F3BA20AD-098D-4F3B-A37F-E9634373B168}" name="Column13" dataDxfId="43"/>
    <tableColumn id="14" xr3:uid="{0D5B9B45-1AD4-439F-B5AA-7E34CF046118}" name="Column14" dataDxfId="42"/>
    <tableColumn id="15" xr3:uid="{4AB87C60-82BE-4169-982A-EFCDDBC379FE}" name="Column15" dataDxfId="41"/>
    <tableColumn id="16" xr3:uid="{0EA15726-5118-4954-BD35-453F8E6AB9F0}" name="Column16" dataDxfId="40"/>
    <tableColumn id="17" xr3:uid="{8376B0AA-EE7F-4D24-A050-7ED291B3F46F}" name="Column17" dataDxfId="39"/>
    <tableColumn id="18" xr3:uid="{EC65423F-44FE-4AEB-B84E-539187A24C27}" name="Column18" dataDxfId="38"/>
    <tableColumn id="19" xr3:uid="{CA07FCA8-AC93-4A4A-B2D9-0C54AE8DDEE1}" name="Column19" dataDxfId="37"/>
    <tableColumn id="20" xr3:uid="{6EB2F061-34A4-4892-BD3A-5B3275087945}" name="Column20" dataDxfId="36"/>
    <tableColumn id="21" xr3:uid="{85D46825-93C0-4810-9E95-88E8D7D1D9B0}" name="Column21" dataDxfId="35"/>
    <tableColumn id="22" xr3:uid="{C419ECA1-0754-411A-9A88-886FFFAD9153}" name="Column22" dataDxfId="34"/>
    <tableColumn id="23" xr3:uid="{31D00427-2C5E-4051-83D6-04BF79EFE93E}" name="Column23" dataDxfId="33"/>
    <tableColumn id="24" xr3:uid="{A7F06EE2-A67A-45C0-8E3B-7C4AB61B956E}" name="Column24" dataDxfId="32"/>
    <tableColumn id="25" xr3:uid="{9517EB84-FCC7-4559-91B9-24CBD70ED71E}" name="Column25" dataDxfId="31"/>
    <tableColumn id="26" xr3:uid="{B0A4390A-4179-42C9-8182-A53E6A7AF001}" name="Column26" dataDxfId="30"/>
    <tableColumn id="27" xr3:uid="{146B8543-65D5-4E6E-96F2-9BCA032BD8BF}" name="Column27" dataDxfId="29"/>
    <tableColumn id="28" xr3:uid="{5D58889E-E08C-40A7-B65A-963D1E8DE719}" name="Column28" dataDxfId="28"/>
    <tableColumn id="29" xr3:uid="{2D11A7C9-2F8E-4C3A-B091-941947730499}" name="Column29" dataDxfId="27"/>
    <tableColumn id="30" xr3:uid="{F447AE6C-4DAD-4D56-A0FC-736A7369C0D4}" name="Column30" dataDxfId="26"/>
    <tableColumn id="31" xr3:uid="{FECB0CB9-5DA7-485D-A7A1-15F1E1B395EB}" name="Column31" dataDxfId="25"/>
    <tableColumn id="32" xr3:uid="{7B318C1B-50BE-4F03-B330-45AF06477922}" name="Column32" dataDxfId="24"/>
    <tableColumn id="33" xr3:uid="{9F5B14F4-C541-4F87-8970-F4651C2E4AB8}" name="Column33" dataDxfId="23"/>
    <tableColumn id="34" xr3:uid="{EC3B4255-35CF-4C3D-B700-F9FD8B7C0F46}" name="Column34" dataDxfId="22">
      <calculatedColumnFormula>COUNTIF(D2:AG2,"p")</calculatedColumnFormula>
    </tableColumn>
    <tableColumn id="35" xr3:uid="{EDB234D8-4673-48D8-90CD-AE448B324FA1}" name="Column35" dataDxfId="21">
      <calculatedColumnFormula>COUNTIF(D2:AG2,"A")</calculatedColumnFormula>
    </tableColumn>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EF801C3-69EF-4E16-8457-7587EDB1C301}" name="Table9" displayName="Table9" ref="A1:I22" totalsRowShown="0" headerRowDxfId="17">
  <autoFilter ref="A1:I22" xr:uid="{6EF801C3-69EF-4E16-8457-7587EDB1C301}"/>
  <tableColumns count="9">
    <tableColumn id="1" xr3:uid="{163A98A0-830D-4B6D-B9B0-2B2D10B1D581}" name="DATA" dataDxfId="16"/>
    <tableColumn id="2" xr3:uid="{3C37A17A-4BAB-4646-A243-0FF0D317B9F8}" name="SALES PERSON"/>
    <tableColumn id="3" xr3:uid="{E145E4CF-ED21-467B-BC89-AA0FD3E2134B}" name="REGION"/>
    <tableColumn id="4" xr3:uid="{266EB3AA-ED61-4622-B12B-2004D1D414FB}" name="PRODUCT"/>
    <tableColumn id="5" xr3:uid="{6525BB10-46C9-4B2F-885E-32D0731FC30F}" name="UNITS SOLD"/>
    <tableColumn id="6" xr3:uid="{C494C478-D163-4416-8A16-650D32018C45}" name="UNIT PRICE "/>
    <tableColumn id="7" xr3:uid="{2E580273-6BE6-4ED6-8864-EBE033968D3D}" name="COST OF GOODS"/>
    <tableColumn id="8" xr3:uid="{A8ED8793-3FE7-442E-ADB1-0E936AD4E96D}" name="TOTAL SALES"/>
    <tableColumn id="9" xr3:uid="{1727B7B9-3EE5-46A7-B5DE-B365D7FA724C}" name="PROFIT">
      <calculatedColumnFormula>H2-(G2*E2)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8" Type="http://schemas.openxmlformats.org/officeDocument/2006/relationships/hyperlink" Target="mailto:vikram@gmail.com" TargetMode="External"/><Relationship Id="rId3" Type="http://schemas.openxmlformats.org/officeDocument/2006/relationships/hyperlink" Target="mailto:sanjayjiraya@gmail.com" TargetMode="External"/><Relationship Id="rId7" Type="http://schemas.openxmlformats.org/officeDocument/2006/relationships/hyperlink" Target="mailto:sudharsanhyper@gmail.com" TargetMode="External"/><Relationship Id="rId2" Type="http://schemas.openxmlformats.org/officeDocument/2006/relationships/hyperlink" Target="mailto:vickymadhra@gmail.com" TargetMode="External"/><Relationship Id="rId1" Type="http://schemas.openxmlformats.org/officeDocument/2006/relationships/hyperlink" Target="mailto:shankarsha@gmail.com" TargetMode="External"/><Relationship Id="rId6" Type="http://schemas.openxmlformats.org/officeDocument/2006/relationships/hyperlink" Target="mailto:Rammecanik@gmail.com" TargetMode="External"/><Relationship Id="rId5" Type="http://schemas.openxmlformats.org/officeDocument/2006/relationships/hyperlink" Target="mailto:gokulintern@gmail.com" TargetMode="External"/><Relationship Id="rId10" Type="http://schemas.openxmlformats.org/officeDocument/2006/relationships/table" Target="../tables/table6.xml"/><Relationship Id="rId4" Type="http://schemas.openxmlformats.org/officeDocument/2006/relationships/hyperlink" Target="mailto:perumalmaila@gmail.com" TargetMode="External"/><Relationship Id="rId9" Type="http://schemas.openxmlformats.org/officeDocument/2006/relationships/hyperlink" Target="mailto:Thilipkumar@gmail.com"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ivotTable" Target="../pivotTables/pivotTable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6.xml"/></Relationships>
</file>

<file path=xl/worksheets/_rels/sheet1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C7A7D-03B8-4ACD-8797-05F03DCAF697}">
  <dimension ref="A1:I17"/>
  <sheetViews>
    <sheetView workbookViewId="0">
      <selection activeCell="B7" sqref="B7:C7"/>
    </sheetView>
  </sheetViews>
  <sheetFormatPr defaultRowHeight="14.4" x14ac:dyDescent="0.3"/>
  <cols>
    <col min="4" max="4" width="11.21875" customWidth="1"/>
    <col min="5" max="5" width="10.21875" customWidth="1"/>
  </cols>
  <sheetData>
    <row r="1" spans="1:9" x14ac:dyDescent="0.3">
      <c r="A1" s="2" t="s">
        <v>0</v>
      </c>
      <c r="B1" s="3" t="s">
        <v>1</v>
      </c>
      <c r="C1" s="3" t="s">
        <v>2</v>
      </c>
      <c r="D1" s="3" t="s">
        <v>3</v>
      </c>
      <c r="E1" s="3" t="s">
        <v>4</v>
      </c>
    </row>
    <row r="2" spans="1:9" x14ac:dyDescent="0.3">
      <c r="A2" s="1" t="s">
        <v>5</v>
      </c>
      <c r="B2" s="1" t="s">
        <v>6</v>
      </c>
      <c r="C2" s="4">
        <v>80</v>
      </c>
      <c r="D2" s="4">
        <v>5</v>
      </c>
      <c r="E2" s="1">
        <f>C2*D2</f>
        <v>400</v>
      </c>
    </row>
    <row r="3" spans="1:9" x14ac:dyDescent="0.3">
      <c r="A3" t="s">
        <v>7</v>
      </c>
      <c r="B3" t="s">
        <v>8</v>
      </c>
      <c r="C3" s="5">
        <v>5</v>
      </c>
      <c r="D3" s="5">
        <v>10</v>
      </c>
      <c r="E3" s="1">
        <f t="shared" ref="E3" si="0">C3*D3</f>
        <v>50</v>
      </c>
    </row>
    <row r="4" spans="1:9" x14ac:dyDescent="0.3">
      <c r="A4" t="s">
        <v>9</v>
      </c>
      <c r="B4" t="s">
        <v>10</v>
      </c>
      <c r="C4" s="5">
        <v>35</v>
      </c>
      <c r="D4" s="5">
        <v>55</v>
      </c>
      <c r="E4" s="1">
        <f>C4*D4</f>
        <v>1925</v>
      </c>
    </row>
    <row r="5" spans="1:9" x14ac:dyDescent="0.3">
      <c r="D5" s="5" t="s">
        <v>11</v>
      </c>
      <c r="E5">
        <f>SUM(E2:E4)</f>
        <v>2375</v>
      </c>
    </row>
    <row r="6" spans="1:9" x14ac:dyDescent="0.3">
      <c r="D6" t="s">
        <v>12</v>
      </c>
      <c r="E6">
        <f>AVERAGE(E2:E5)</f>
        <v>1187.5</v>
      </c>
    </row>
    <row r="12" spans="1:9" x14ac:dyDescent="0.3">
      <c r="I12" t="s">
        <v>179</v>
      </c>
    </row>
    <row r="17" spans="9:9" ht="28.8" x14ac:dyDescent="0.3">
      <c r="I17" s="42" t="s">
        <v>309</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FFC62-5DBC-45E7-858F-96DE2C9CF8A4}">
  <dimension ref="A1:I19"/>
  <sheetViews>
    <sheetView workbookViewId="0">
      <selection sqref="A1:I13"/>
    </sheetView>
  </sheetViews>
  <sheetFormatPr defaultRowHeight="14.4" x14ac:dyDescent="0.3"/>
  <cols>
    <col min="1" max="1" width="10.33203125" customWidth="1"/>
    <col min="2" max="2" width="10.88671875" bestFit="1" customWidth="1"/>
    <col min="3" max="9" width="10.33203125" customWidth="1"/>
  </cols>
  <sheetData>
    <row r="1" spans="1:9" x14ac:dyDescent="0.3">
      <c r="A1" s="8" t="s">
        <v>273</v>
      </c>
      <c r="B1" s="8" t="s">
        <v>274</v>
      </c>
      <c r="C1" s="8" t="s">
        <v>275</v>
      </c>
      <c r="D1" s="8" t="s">
        <v>276</v>
      </c>
      <c r="E1" s="8" t="s">
        <v>277</v>
      </c>
      <c r="F1" s="8" t="s">
        <v>278</v>
      </c>
      <c r="G1" s="8" t="s">
        <v>279</v>
      </c>
      <c r="H1" s="8" t="s">
        <v>280</v>
      </c>
      <c r="I1" s="6" t="s">
        <v>281</v>
      </c>
    </row>
    <row r="2" spans="1:9" x14ac:dyDescent="0.3">
      <c r="A2" s="8" t="s">
        <v>13</v>
      </c>
      <c r="B2" s="8" t="s">
        <v>14</v>
      </c>
      <c r="C2" s="8" t="s">
        <v>15</v>
      </c>
      <c r="D2" s="8" t="s">
        <v>16</v>
      </c>
      <c r="E2" s="8" t="s">
        <v>17</v>
      </c>
      <c r="F2" s="8" t="s">
        <v>18</v>
      </c>
      <c r="G2" s="8"/>
      <c r="H2" s="8" t="s">
        <v>19</v>
      </c>
      <c r="I2" s="6">
        <v>0.05</v>
      </c>
    </row>
    <row r="3" spans="1:9" x14ac:dyDescent="0.3">
      <c r="A3" s="5">
        <v>56230</v>
      </c>
      <c r="B3" t="s">
        <v>6</v>
      </c>
      <c r="C3" s="5">
        <v>5</v>
      </c>
      <c r="D3" s="5">
        <v>120</v>
      </c>
      <c r="E3">
        <f>C3*D3</f>
        <v>600</v>
      </c>
      <c r="F3">
        <f t="shared" ref="F3:F13" si="0">E3*$I$2</f>
        <v>30</v>
      </c>
    </row>
    <row r="4" spans="1:9" x14ac:dyDescent="0.3">
      <c r="A4" s="5">
        <v>56231</v>
      </c>
      <c r="B4" t="s">
        <v>20</v>
      </c>
      <c r="C4" s="5">
        <v>3</v>
      </c>
      <c r="D4" s="5">
        <v>21</v>
      </c>
      <c r="E4">
        <f t="shared" ref="E4:E13" si="1">C4*D4</f>
        <v>63</v>
      </c>
      <c r="F4">
        <f t="shared" si="0"/>
        <v>3.1500000000000004</v>
      </c>
    </row>
    <row r="5" spans="1:9" x14ac:dyDescent="0.3">
      <c r="A5" s="5">
        <v>56232</v>
      </c>
      <c r="B5" t="s">
        <v>21</v>
      </c>
      <c r="C5" s="5">
        <v>4</v>
      </c>
      <c r="D5" s="5">
        <v>12</v>
      </c>
      <c r="E5">
        <f t="shared" si="1"/>
        <v>48</v>
      </c>
      <c r="F5">
        <f t="shared" si="0"/>
        <v>2.4000000000000004</v>
      </c>
    </row>
    <row r="6" spans="1:9" x14ac:dyDescent="0.3">
      <c r="A6" s="5">
        <v>56233</v>
      </c>
      <c r="B6" t="s">
        <v>22</v>
      </c>
      <c r="C6" s="5">
        <v>7</v>
      </c>
      <c r="D6" s="5">
        <v>123</v>
      </c>
      <c r="E6">
        <f t="shared" si="1"/>
        <v>861</v>
      </c>
      <c r="F6">
        <f t="shared" si="0"/>
        <v>43.050000000000004</v>
      </c>
    </row>
    <row r="7" spans="1:9" x14ac:dyDescent="0.3">
      <c r="A7" s="5">
        <v>56234</v>
      </c>
      <c r="B7" t="s">
        <v>23</v>
      </c>
      <c r="C7" s="5">
        <v>3</v>
      </c>
      <c r="D7" s="5">
        <v>24</v>
      </c>
      <c r="E7">
        <f t="shared" si="1"/>
        <v>72</v>
      </c>
      <c r="F7">
        <f t="shared" si="0"/>
        <v>3.6</v>
      </c>
    </row>
    <row r="8" spans="1:9" x14ac:dyDescent="0.3">
      <c r="A8" s="5">
        <v>56235</v>
      </c>
      <c r="B8" t="s">
        <v>24</v>
      </c>
      <c r="C8" s="5">
        <v>10</v>
      </c>
      <c r="D8" s="5">
        <v>35</v>
      </c>
      <c r="E8">
        <f t="shared" si="1"/>
        <v>350</v>
      </c>
      <c r="F8">
        <f t="shared" si="0"/>
        <v>17.5</v>
      </c>
    </row>
    <row r="9" spans="1:9" x14ac:dyDescent="0.3">
      <c r="A9" s="5">
        <v>56236</v>
      </c>
      <c r="B9" t="s">
        <v>25</v>
      </c>
      <c r="C9" s="5">
        <v>4</v>
      </c>
      <c r="D9" s="5">
        <v>16</v>
      </c>
      <c r="E9">
        <f t="shared" si="1"/>
        <v>64</v>
      </c>
      <c r="F9">
        <f t="shared" si="0"/>
        <v>3.2</v>
      </c>
    </row>
    <row r="10" spans="1:9" x14ac:dyDescent="0.3">
      <c r="A10" s="5">
        <v>56237</v>
      </c>
      <c r="B10" t="s">
        <v>26</v>
      </c>
      <c r="C10" s="5">
        <v>9</v>
      </c>
      <c r="D10" s="5">
        <v>17</v>
      </c>
      <c r="E10">
        <f t="shared" si="1"/>
        <v>153</v>
      </c>
      <c r="F10">
        <f t="shared" si="0"/>
        <v>7.65</v>
      </c>
    </row>
    <row r="11" spans="1:9" x14ac:dyDescent="0.3">
      <c r="A11" s="5">
        <v>56238</v>
      </c>
      <c r="B11" t="s">
        <v>27</v>
      </c>
      <c r="C11" s="5">
        <v>5</v>
      </c>
      <c r="D11" s="5">
        <v>128</v>
      </c>
      <c r="E11">
        <f t="shared" si="1"/>
        <v>640</v>
      </c>
      <c r="F11">
        <f t="shared" si="0"/>
        <v>32</v>
      </c>
    </row>
    <row r="12" spans="1:9" x14ac:dyDescent="0.3">
      <c r="A12" s="5">
        <v>56239</v>
      </c>
      <c r="B12" t="s">
        <v>28</v>
      </c>
      <c r="C12" s="5">
        <v>3</v>
      </c>
      <c r="D12" s="5">
        <v>129</v>
      </c>
      <c r="E12">
        <f t="shared" si="1"/>
        <v>387</v>
      </c>
      <c r="F12">
        <f t="shared" si="0"/>
        <v>19.350000000000001</v>
      </c>
    </row>
    <row r="13" spans="1:9" x14ac:dyDescent="0.3">
      <c r="A13" s="5">
        <v>56240</v>
      </c>
      <c r="B13" t="s">
        <v>29</v>
      </c>
      <c r="C13" s="5">
        <v>2</v>
      </c>
      <c r="D13" s="5">
        <v>30</v>
      </c>
      <c r="E13">
        <f t="shared" si="1"/>
        <v>60</v>
      </c>
      <c r="F13">
        <f t="shared" si="0"/>
        <v>3</v>
      </c>
    </row>
    <row r="14" spans="1:9" x14ac:dyDescent="0.3">
      <c r="B14" s="10" t="s">
        <v>30</v>
      </c>
      <c r="C14" s="9">
        <v>2</v>
      </c>
      <c r="D14" s="9">
        <v>4</v>
      </c>
      <c r="E14" s="9">
        <v>6</v>
      </c>
      <c r="F14" s="9">
        <v>8</v>
      </c>
      <c r="G14" s="9">
        <v>10</v>
      </c>
    </row>
    <row r="15" spans="1:9" x14ac:dyDescent="0.3">
      <c r="B15" s="9">
        <v>2</v>
      </c>
      <c r="C15">
        <f>$B15*C$14</f>
        <v>4</v>
      </c>
      <c r="D15">
        <f t="shared" ref="D15:G19" si="2">$B15*D$14</f>
        <v>8</v>
      </c>
      <c r="E15">
        <f t="shared" si="2"/>
        <v>12</v>
      </c>
      <c r="F15">
        <f t="shared" si="2"/>
        <v>16</v>
      </c>
      <c r="G15">
        <f t="shared" si="2"/>
        <v>20</v>
      </c>
    </row>
    <row r="16" spans="1:9" x14ac:dyDescent="0.3">
      <c r="B16" s="9">
        <v>4</v>
      </c>
      <c r="C16">
        <f t="shared" ref="C16:C19" si="3">$B16*C$14</f>
        <v>8</v>
      </c>
      <c r="D16">
        <f t="shared" si="2"/>
        <v>16</v>
      </c>
      <c r="E16">
        <f t="shared" si="2"/>
        <v>24</v>
      </c>
      <c r="F16">
        <f t="shared" si="2"/>
        <v>32</v>
      </c>
      <c r="G16">
        <f t="shared" si="2"/>
        <v>40</v>
      </c>
    </row>
    <row r="17" spans="2:7" x14ac:dyDescent="0.3">
      <c r="B17" s="9">
        <v>6</v>
      </c>
      <c r="C17">
        <f t="shared" si="3"/>
        <v>12</v>
      </c>
      <c r="D17">
        <f t="shared" si="2"/>
        <v>24</v>
      </c>
      <c r="E17">
        <f t="shared" si="2"/>
        <v>36</v>
      </c>
      <c r="F17">
        <f t="shared" si="2"/>
        <v>48</v>
      </c>
      <c r="G17">
        <f t="shared" si="2"/>
        <v>60</v>
      </c>
    </row>
    <row r="18" spans="2:7" x14ac:dyDescent="0.3">
      <c r="B18" s="9">
        <v>8</v>
      </c>
      <c r="C18">
        <f t="shared" si="3"/>
        <v>16</v>
      </c>
      <c r="D18">
        <f t="shared" si="2"/>
        <v>32</v>
      </c>
      <c r="E18">
        <f t="shared" si="2"/>
        <v>48</v>
      </c>
      <c r="F18">
        <f t="shared" si="2"/>
        <v>64</v>
      </c>
      <c r="G18">
        <f t="shared" si="2"/>
        <v>80</v>
      </c>
    </row>
    <row r="19" spans="2:7" x14ac:dyDescent="0.3">
      <c r="B19" s="9">
        <v>10</v>
      </c>
      <c r="C19">
        <f t="shared" si="3"/>
        <v>20</v>
      </c>
      <c r="D19">
        <f t="shared" si="2"/>
        <v>40</v>
      </c>
      <c r="E19">
        <f t="shared" si="2"/>
        <v>60</v>
      </c>
      <c r="F19">
        <f t="shared" si="2"/>
        <v>80</v>
      </c>
      <c r="G19">
        <f t="shared" si="2"/>
        <v>100</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B840E-DA41-42B6-B27D-4A8978CFA66C}">
  <dimension ref="A1:G8"/>
  <sheetViews>
    <sheetView workbookViewId="0">
      <selection sqref="A1:G8"/>
    </sheetView>
  </sheetViews>
  <sheetFormatPr defaultRowHeight="14.4" x14ac:dyDescent="0.3"/>
  <cols>
    <col min="1" max="1" width="9.6640625" bestFit="1" customWidth="1"/>
    <col min="2" max="2" width="11.5546875" bestFit="1" customWidth="1"/>
    <col min="4" max="4" width="17.33203125" bestFit="1" customWidth="1"/>
    <col min="5" max="5" width="13.33203125" bestFit="1" customWidth="1"/>
    <col min="6" max="6" width="13.21875" customWidth="1"/>
    <col min="7" max="7" width="13.5546875" bestFit="1" customWidth="1"/>
  </cols>
  <sheetData>
    <row r="1" spans="1:7" x14ac:dyDescent="0.3">
      <c r="A1" s="12" t="s">
        <v>31</v>
      </c>
      <c r="B1" s="12" t="s">
        <v>32</v>
      </c>
      <c r="D1" s="12" t="s">
        <v>33</v>
      </c>
      <c r="E1" s="12" t="s">
        <v>34</v>
      </c>
      <c r="F1" s="11" t="s">
        <v>35</v>
      </c>
      <c r="G1" t="s">
        <v>35</v>
      </c>
    </row>
    <row r="2" spans="1:7" x14ac:dyDescent="0.3">
      <c r="A2" s="13">
        <v>55</v>
      </c>
      <c r="B2" s="4">
        <v>89</v>
      </c>
      <c r="C2" t="str">
        <f>TEXT(B2,"0000")</f>
        <v>0089</v>
      </c>
      <c r="D2" s="5">
        <v>55</v>
      </c>
      <c r="E2" s="14" t="s">
        <v>48</v>
      </c>
      <c r="F2" s="5">
        <v>68</v>
      </c>
      <c r="G2">
        <v>68</v>
      </c>
    </row>
    <row r="3" spans="1:7" x14ac:dyDescent="0.3">
      <c r="A3" s="13">
        <v>897</v>
      </c>
      <c r="B3" s="4">
        <v>65</v>
      </c>
      <c r="C3" t="str">
        <f t="shared" ref="C3:C8" si="0">TEXT(B3,"0000")</f>
        <v>0065</v>
      </c>
      <c r="D3" s="5">
        <v>45</v>
      </c>
      <c r="E3" s="14" t="s">
        <v>49</v>
      </c>
      <c r="F3" s="5">
        <v>378</v>
      </c>
      <c r="G3">
        <v>378</v>
      </c>
    </row>
    <row r="4" spans="1:7" x14ac:dyDescent="0.3">
      <c r="A4" s="13">
        <v>5467</v>
      </c>
      <c r="B4" s="4">
        <v>279</v>
      </c>
      <c r="C4" t="str">
        <f t="shared" si="0"/>
        <v>0279</v>
      </c>
      <c r="D4" s="5" t="s">
        <v>40</v>
      </c>
      <c r="E4" s="14" t="s">
        <v>50</v>
      </c>
      <c r="F4" s="5" t="s">
        <v>43</v>
      </c>
      <c r="G4" t="s">
        <v>43</v>
      </c>
    </row>
    <row r="5" spans="1:7" x14ac:dyDescent="0.3">
      <c r="A5" s="13">
        <v>246</v>
      </c>
      <c r="B5" s="4">
        <v>8379</v>
      </c>
      <c r="C5" t="str">
        <f t="shared" si="0"/>
        <v>8379</v>
      </c>
      <c r="D5" s="5" t="s">
        <v>41</v>
      </c>
      <c r="E5" s="14" t="s">
        <v>51</v>
      </c>
      <c r="F5" s="5" t="s">
        <v>44</v>
      </c>
      <c r="G5" t="s">
        <v>44</v>
      </c>
    </row>
    <row r="6" spans="1:7" x14ac:dyDescent="0.3">
      <c r="A6" s="13" t="s">
        <v>36</v>
      </c>
      <c r="B6" s="4" t="s">
        <v>39</v>
      </c>
      <c r="C6" t="str">
        <f t="shared" si="0"/>
        <v>F763</v>
      </c>
      <c r="D6" s="5">
        <v>544</v>
      </c>
      <c r="E6" s="14" t="s">
        <v>52</v>
      </c>
      <c r="F6" s="5" t="s">
        <v>45</v>
      </c>
      <c r="G6" t="s">
        <v>45</v>
      </c>
    </row>
    <row r="7" spans="1:7" x14ac:dyDescent="0.3">
      <c r="A7" s="13" t="s">
        <v>37</v>
      </c>
      <c r="B7" s="4" t="s">
        <v>47</v>
      </c>
      <c r="C7" t="str">
        <f t="shared" si="0"/>
        <v>672Y</v>
      </c>
      <c r="D7" s="5" t="s">
        <v>42</v>
      </c>
      <c r="E7" s="14" t="s">
        <v>53</v>
      </c>
      <c r="F7" s="5">
        <v>4552</v>
      </c>
      <c r="G7">
        <v>4552</v>
      </c>
    </row>
    <row r="8" spans="1:7" x14ac:dyDescent="0.3">
      <c r="A8" s="13" t="s">
        <v>38</v>
      </c>
      <c r="B8" s="4">
        <v>880</v>
      </c>
      <c r="C8" t="str">
        <f t="shared" si="0"/>
        <v>0880</v>
      </c>
      <c r="D8" s="5">
        <v>81</v>
      </c>
      <c r="E8" s="14" t="s">
        <v>54</v>
      </c>
      <c r="F8" s="5" t="s">
        <v>46</v>
      </c>
      <c r="G8" t="s">
        <v>46</v>
      </c>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487C8-BB4E-4560-A06E-ADE062E9220E}">
  <dimension ref="A1:C10"/>
  <sheetViews>
    <sheetView workbookViewId="0">
      <selection sqref="A1:C10"/>
    </sheetView>
  </sheetViews>
  <sheetFormatPr defaultRowHeight="14.4" x14ac:dyDescent="0.3"/>
  <cols>
    <col min="1" max="1" width="14.77734375" customWidth="1"/>
    <col min="2" max="2" width="11.6640625" customWidth="1"/>
    <col min="3" max="3" width="11.33203125" customWidth="1"/>
  </cols>
  <sheetData>
    <row r="1" spans="1:3" x14ac:dyDescent="0.3">
      <c r="A1" s="7" t="s">
        <v>55</v>
      </c>
      <c r="B1" s="7" t="s">
        <v>56</v>
      </c>
      <c r="C1" s="7" t="s">
        <v>57</v>
      </c>
    </row>
    <row r="2" spans="1:3" x14ac:dyDescent="0.3">
      <c r="A2" t="s">
        <v>58</v>
      </c>
      <c r="B2" t="s">
        <v>5</v>
      </c>
      <c r="C2" t="s">
        <v>73</v>
      </c>
    </row>
    <row r="3" spans="1:3" x14ac:dyDescent="0.3">
      <c r="A3" t="s">
        <v>59</v>
      </c>
      <c r="B3" t="s">
        <v>7</v>
      </c>
      <c r="C3" t="s">
        <v>74</v>
      </c>
    </row>
    <row r="4" spans="1:3" x14ac:dyDescent="0.3">
      <c r="A4" t="s">
        <v>60</v>
      </c>
      <c r="B4" t="s">
        <v>9</v>
      </c>
      <c r="C4" t="s">
        <v>75</v>
      </c>
    </row>
    <row r="5" spans="1:3" x14ac:dyDescent="0.3">
      <c r="A5" t="s">
        <v>61</v>
      </c>
      <c r="B5" t="s">
        <v>70</v>
      </c>
      <c r="C5" t="s">
        <v>76</v>
      </c>
    </row>
    <row r="6" spans="1:3" x14ac:dyDescent="0.3">
      <c r="A6" t="s">
        <v>62</v>
      </c>
      <c r="B6" t="s">
        <v>71</v>
      </c>
      <c r="C6" t="s">
        <v>74</v>
      </c>
    </row>
    <row r="7" spans="1:3" x14ac:dyDescent="0.3">
      <c r="A7" t="s">
        <v>69</v>
      </c>
      <c r="B7" t="s">
        <v>63</v>
      </c>
      <c r="C7" t="s">
        <v>77</v>
      </c>
    </row>
    <row r="8" spans="1:3" x14ac:dyDescent="0.3">
      <c r="A8" t="s">
        <v>68</v>
      </c>
      <c r="B8" t="s">
        <v>64</v>
      </c>
      <c r="C8" t="s">
        <v>78</v>
      </c>
    </row>
    <row r="9" spans="1:3" x14ac:dyDescent="0.3">
      <c r="A9" t="s">
        <v>67</v>
      </c>
      <c r="B9" t="s">
        <v>65</v>
      </c>
      <c r="C9" t="s">
        <v>79</v>
      </c>
    </row>
    <row r="10" spans="1:3" x14ac:dyDescent="0.3">
      <c r="A10" t="s">
        <v>66</v>
      </c>
      <c r="B10" t="s">
        <v>72</v>
      </c>
      <c r="C10" t="s">
        <v>80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AA957-6582-42D5-9161-5D87FA5D52C4}">
  <dimension ref="A1:E10"/>
  <sheetViews>
    <sheetView workbookViewId="0">
      <selection sqref="A1:E10"/>
    </sheetView>
  </sheetViews>
  <sheetFormatPr defaultRowHeight="14.4" x14ac:dyDescent="0.3"/>
  <cols>
    <col min="2" max="2" width="12" customWidth="1"/>
    <col min="3" max="3" width="11.6640625" customWidth="1"/>
    <col min="4" max="4" width="17.44140625" bestFit="1" customWidth="1"/>
    <col min="5" max="5" width="24.33203125" bestFit="1" customWidth="1"/>
  </cols>
  <sheetData>
    <row r="1" spans="1:5" x14ac:dyDescent="0.3">
      <c r="A1" s="15" t="s">
        <v>81</v>
      </c>
      <c r="B1" s="15" t="s">
        <v>82</v>
      </c>
      <c r="C1" s="15" t="s">
        <v>83</v>
      </c>
      <c r="D1" s="15" t="s">
        <v>95</v>
      </c>
      <c r="E1" s="15" t="s">
        <v>84</v>
      </c>
    </row>
    <row r="2" spans="1:5" x14ac:dyDescent="0.3">
      <c r="A2" t="s">
        <v>85</v>
      </c>
      <c r="B2" t="s">
        <v>5</v>
      </c>
      <c r="C2" t="s">
        <v>88</v>
      </c>
      <c r="D2" t="str">
        <f>_xlfn.TEXTJOIN(" ",TRUE,A2:C2)</f>
        <v>Mr. shankar sha</v>
      </c>
      <c r="E2" s="16" t="s">
        <v>96</v>
      </c>
    </row>
    <row r="3" spans="1:5" x14ac:dyDescent="0.3">
      <c r="A3" t="s">
        <v>85</v>
      </c>
      <c r="B3" t="s">
        <v>7</v>
      </c>
      <c r="C3" t="s">
        <v>89</v>
      </c>
      <c r="D3" t="str">
        <f t="shared" ref="D3:D10" si="0">_xlfn.TEXTJOIN(" ",TRUE,A3:C3)</f>
        <v>Mr. vicky madhra</v>
      </c>
      <c r="E3" s="16" t="s">
        <v>97</v>
      </c>
    </row>
    <row r="4" spans="1:5" x14ac:dyDescent="0.3">
      <c r="A4" t="s">
        <v>85</v>
      </c>
      <c r="B4" t="s">
        <v>9</v>
      </c>
      <c r="C4" t="s">
        <v>90</v>
      </c>
      <c r="D4" t="str">
        <f t="shared" si="0"/>
        <v>Mr. sanjay jiraya</v>
      </c>
      <c r="E4" s="16" t="s">
        <v>98</v>
      </c>
    </row>
    <row r="5" spans="1:5" x14ac:dyDescent="0.3">
      <c r="A5" t="s">
        <v>85</v>
      </c>
      <c r="B5" t="s">
        <v>63</v>
      </c>
      <c r="C5" t="s">
        <v>91</v>
      </c>
      <c r="D5" t="str">
        <f t="shared" si="0"/>
        <v>Mr. perumal maila</v>
      </c>
      <c r="E5" s="16" t="s">
        <v>99</v>
      </c>
    </row>
    <row r="6" spans="1:5" x14ac:dyDescent="0.3">
      <c r="A6" t="s">
        <v>85</v>
      </c>
      <c r="B6" t="s">
        <v>65</v>
      </c>
      <c r="C6" t="s">
        <v>92</v>
      </c>
      <c r="D6" t="str">
        <f t="shared" si="0"/>
        <v>Mr. gokul intern</v>
      </c>
      <c r="E6" s="16" t="s">
        <v>100</v>
      </c>
    </row>
    <row r="7" spans="1:5" x14ac:dyDescent="0.3">
      <c r="A7" t="s">
        <v>85</v>
      </c>
      <c r="B7" t="s">
        <v>86</v>
      </c>
      <c r="C7" t="s">
        <v>93</v>
      </c>
      <c r="D7" t="str">
        <f t="shared" si="0"/>
        <v>Mr. Ram mecanik</v>
      </c>
      <c r="E7" s="16" t="s">
        <v>101</v>
      </c>
    </row>
    <row r="8" spans="1:5" x14ac:dyDescent="0.3">
      <c r="A8" t="s">
        <v>85</v>
      </c>
      <c r="B8" t="s">
        <v>71</v>
      </c>
      <c r="C8" t="s">
        <v>94</v>
      </c>
      <c r="D8" t="str">
        <f t="shared" si="0"/>
        <v>Mr. sudharsan hyper</v>
      </c>
      <c r="E8" s="16" t="s">
        <v>102</v>
      </c>
    </row>
    <row r="9" spans="1:5" x14ac:dyDescent="0.3">
      <c r="A9" t="s">
        <v>85</v>
      </c>
      <c r="B9" t="s">
        <v>64</v>
      </c>
      <c r="D9" t="str">
        <f t="shared" si="0"/>
        <v>Mr. vikram</v>
      </c>
      <c r="E9" s="16" t="s">
        <v>103</v>
      </c>
    </row>
    <row r="10" spans="1:5" x14ac:dyDescent="0.3">
      <c r="A10" t="s">
        <v>85</v>
      </c>
      <c r="B10" t="s">
        <v>87</v>
      </c>
      <c r="C10" t="s">
        <v>80</v>
      </c>
      <c r="D10" t="str">
        <f t="shared" si="0"/>
        <v>Mr. Thilip kumar</v>
      </c>
      <c r="E10" s="16" t="s">
        <v>104</v>
      </c>
    </row>
  </sheetData>
  <hyperlinks>
    <hyperlink ref="E2" r:id="rId1" xr:uid="{1D281D6F-6464-4E44-9F07-710F38E64B67}"/>
    <hyperlink ref="E3" r:id="rId2" xr:uid="{DE35E09D-EC7F-4176-A06B-9E4EBB333AAB}"/>
    <hyperlink ref="E4" r:id="rId3" xr:uid="{65F68EB9-386B-4813-945B-E0F2E23DF73A}"/>
    <hyperlink ref="E5" r:id="rId4" xr:uid="{F8304F5C-2F54-47A1-8D8E-73FC9E04CFC5}"/>
    <hyperlink ref="E6" r:id="rId5" xr:uid="{A69B9E67-CD23-45F2-8068-3254C83E080E}"/>
    <hyperlink ref="E7" r:id="rId6" xr:uid="{16F9E687-4EB5-459D-B191-81DC731246D1}"/>
    <hyperlink ref="E8" r:id="rId7" xr:uid="{803BC3D3-4CCD-4F63-A90C-57F7A8788E86}"/>
    <hyperlink ref="E9" r:id="rId8" xr:uid="{BFD76238-6E4F-4E58-A697-C95B06AF4CF4}"/>
    <hyperlink ref="E10" r:id="rId9" xr:uid="{62367365-0748-4E79-BA8D-0E879F8589D4}"/>
  </hyperlinks>
  <pageMargins left="0.7" right="0.7" top="0.75" bottom="0.75" header="0.3" footer="0.3"/>
  <tableParts count="1">
    <tablePart r:id="rId10"/>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417AB-F991-4597-BDAB-251EE5BBBB55}">
  <dimension ref="A1:E12"/>
  <sheetViews>
    <sheetView workbookViewId="0">
      <selection sqref="A1:E12"/>
    </sheetView>
  </sheetViews>
  <sheetFormatPr defaultRowHeight="14.4" x14ac:dyDescent="0.3"/>
  <cols>
    <col min="1" max="1" width="27" bestFit="1" customWidth="1"/>
    <col min="2" max="2" width="15.33203125" bestFit="1" customWidth="1"/>
    <col min="3" max="5" width="10.33203125" customWidth="1"/>
  </cols>
  <sheetData>
    <row r="1" spans="1:5" x14ac:dyDescent="0.3">
      <c r="A1" t="s">
        <v>273</v>
      </c>
      <c r="B1" t="s">
        <v>274</v>
      </c>
      <c r="C1" t="s">
        <v>275</v>
      </c>
      <c r="D1" t="s">
        <v>276</v>
      </c>
      <c r="E1" t="s">
        <v>277</v>
      </c>
    </row>
    <row r="2" spans="1:5" x14ac:dyDescent="0.3">
      <c r="A2" t="s">
        <v>14</v>
      </c>
      <c r="B2">
        <f>PRODUCT(D2*E2)</f>
        <v>6</v>
      </c>
      <c r="D2">
        <v>2</v>
      </c>
      <c r="E2">
        <v>3</v>
      </c>
    </row>
    <row r="3" spans="1:5" x14ac:dyDescent="0.3">
      <c r="A3" t="s">
        <v>105</v>
      </c>
      <c r="B3">
        <f>TRUNC(E3)</f>
        <v>65</v>
      </c>
      <c r="E3">
        <v>65.786000000000001</v>
      </c>
    </row>
    <row r="4" spans="1:5" x14ac:dyDescent="0.3">
      <c r="A4" t="s">
        <v>106</v>
      </c>
      <c r="B4">
        <f>ROUND(E4,0)</f>
        <v>85</v>
      </c>
      <c r="E4">
        <v>84.742999999999995</v>
      </c>
    </row>
    <row r="5" spans="1:5" x14ac:dyDescent="0.3">
      <c r="A5" t="s">
        <v>107</v>
      </c>
      <c r="B5" s="17">
        <f ca="1">NOW()</f>
        <v>45937.033661226851</v>
      </c>
    </row>
    <row r="6" spans="1:5" x14ac:dyDescent="0.3">
      <c r="A6" t="s">
        <v>108</v>
      </c>
    </row>
    <row r="7" spans="1:5" x14ac:dyDescent="0.3">
      <c r="A7" t="s">
        <v>109</v>
      </c>
    </row>
    <row r="8" spans="1:5" x14ac:dyDescent="0.3">
      <c r="A8" t="s">
        <v>110</v>
      </c>
    </row>
    <row r="9" spans="1:5" x14ac:dyDescent="0.3">
      <c r="A9" t="s">
        <v>111</v>
      </c>
    </row>
    <row r="10" spans="1:5" x14ac:dyDescent="0.3">
      <c r="A10" t="s">
        <v>112</v>
      </c>
    </row>
    <row r="11" spans="1:5" x14ac:dyDescent="0.3">
      <c r="A11" t="s">
        <v>113</v>
      </c>
    </row>
    <row r="12" spans="1:5" x14ac:dyDescent="0.3">
      <c r="A12" t="s">
        <v>114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B891B-BDD0-4431-A58E-59EF311B0AE7}">
  <dimension ref="A1:I16"/>
  <sheetViews>
    <sheetView workbookViewId="0">
      <selection sqref="A1:I16"/>
    </sheetView>
  </sheetViews>
  <sheetFormatPr defaultRowHeight="14.4" x14ac:dyDescent="0.3"/>
  <cols>
    <col min="1" max="9" width="10.33203125" customWidth="1"/>
  </cols>
  <sheetData>
    <row r="1" spans="1:9" x14ac:dyDescent="0.3">
      <c r="A1" s="15" t="s">
        <v>273</v>
      </c>
      <c r="B1" s="15" t="s">
        <v>274</v>
      </c>
      <c r="C1" s="15" t="s">
        <v>275</v>
      </c>
      <c r="D1" s="15" t="s">
        <v>276</v>
      </c>
      <c r="E1" t="s">
        <v>277</v>
      </c>
      <c r="F1" s="7" t="s">
        <v>278</v>
      </c>
      <c r="G1" t="s">
        <v>279</v>
      </c>
      <c r="H1" t="s">
        <v>280</v>
      </c>
      <c r="I1" t="s">
        <v>281</v>
      </c>
    </row>
    <row r="2" spans="1:9" x14ac:dyDescent="0.3">
      <c r="A2" s="15" t="s">
        <v>115</v>
      </c>
      <c r="B2" s="15" t="s">
        <v>116</v>
      </c>
      <c r="C2" s="15" t="s">
        <v>117</v>
      </c>
      <c r="D2" s="15" t="s">
        <v>118</v>
      </c>
      <c r="F2" s="7" t="s">
        <v>119</v>
      </c>
      <c r="I2" t="b">
        <f>ISNUMBER(AVERAGEA(D3))</f>
        <v>1</v>
      </c>
    </row>
    <row r="3" spans="1:9" x14ac:dyDescent="0.3">
      <c r="A3">
        <v>1343</v>
      </c>
      <c r="B3" t="s">
        <v>122</v>
      </c>
      <c r="C3" t="s">
        <v>130</v>
      </c>
      <c r="D3" s="18">
        <v>25000</v>
      </c>
      <c r="E3" t="b">
        <f>ISNUMBER(AVERAGE(D3))</f>
        <v>1</v>
      </c>
      <c r="F3" s="15" t="s">
        <v>121</v>
      </c>
      <c r="G3" s="15" t="s">
        <v>120</v>
      </c>
    </row>
    <row r="4" spans="1:9" x14ac:dyDescent="0.3">
      <c r="A4">
        <v>1343</v>
      </c>
      <c r="B4" t="s">
        <v>9</v>
      </c>
      <c r="C4" t="s">
        <v>131</v>
      </c>
      <c r="D4" s="18">
        <v>43000</v>
      </c>
      <c r="E4" t="b">
        <f t="shared" ref="E4:E14" si="0">ISNUMBER(AVERAGE(D4))</f>
        <v>1</v>
      </c>
      <c r="F4" s="18">
        <f>AVERAGE(D3:D14)</f>
        <v>52857.142857142855</v>
      </c>
      <c r="G4">
        <f>AVERAGEA(D3:D14)</f>
        <v>30833.333333333332</v>
      </c>
    </row>
    <row r="5" spans="1:9" x14ac:dyDescent="0.3">
      <c r="A5">
        <v>1343</v>
      </c>
      <c r="B5" t="s">
        <v>123</v>
      </c>
      <c r="C5" t="s">
        <v>132</v>
      </c>
      <c r="D5" t="s">
        <v>142</v>
      </c>
      <c r="E5" t="b">
        <f t="shared" si="0"/>
        <v>0</v>
      </c>
      <c r="F5" s="18">
        <f>AVERAGE(D4:D15)</f>
        <v>57500</v>
      </c>
      <c r="G5">
        <f>AVERAGEA(D4:D15)</f>
        <v>31363.636363636364</v>
      </c>
    </row>
    <row r="6" spans="1:9" x14ac:dyDescent="0.3">
      <c r="A6">
        <v>1343</v>
      </c>
      <c r="B6" t="s">
        <v>124</v>
      </c>
      <c r="C6" t="s">
        <v>133</v>
      </c>
      <c r="D6" s="18">
        <v>32000</v>
      </c>
      <c r="E6" t="b">
        <f t="shared" si="0"/>
        <v>1</v>
      </c>
      <c r="F6" s="18">
        <f>AVERAGE(D5:D16)</f>
        <v>60400</v>
      </c>
      <c r="G6">
        <f>AVERAGEA(D5:D16)</f>
        <v>30200</v>
      </c>
    </row>
    <row r="7" spans="1:9" x14ac:dyDescent="0.3">
      <c r="A7">
        <v>1343</v>
      </c>
      <c r="B7" t="s">
        <v>7</v>
      </c>
      <c r="C7" t="s">
        <v>134</v>
      </c>
      <c r="D7" t="s">
        <v>142</v>
      </c>
      <c r="E7" t="b">
        <f t="shared" si="0"/>
        <v>0</v>
      </c>
      <c r="F7" s="18">
        <f t="shared" ref="F7:F14" si="1">AVERAGE(D6:D16)</f>
        <v>60400</v>
      </c>
      <c r="G7">
        <f t="shared" ref="G7:G14" si="2">AVERAGEA(D6:D16)</f>
        <v>33555.555555555555</v>
      </c>
    </row>
    <row r="8" spans="1:9" x14ac:dyDescent="0.3">
      <c r="A8">
        <v>1343</v>
      </c>
      <c r="B8" t="s">
        <v>64</v>
      </c>
      <c r="C8" t="s">
        <v>135</v>
      </c>
      <c r="D8" s="18">
        <v>80000</v>
      </c>
      <c r="E8" t="b">
        <f t="shared" si="0"/>
        <v>1</v>
      </c>
      <c r="F8" s="18">
        <f t="shared" si="1"/>
        <v>67500</v>
      </c>
      <c r="G8">
        <f t="shared" si="2"/>
        <v>33750</v>
      </c>
    </row>
    <row r="9" spans="1:9" x14ac:dyDescent="0.3">
      <c r="A9">
        <v>1343</v>
      </c>
      <c r="B9" t="s">
        <v>125</v>
      </c>
      <c r="C9" t="s">
        <v>136</v>
      </c>
      <c r="D9" s="18">
        <v>37000</v>
      </c>
      <c r="E9" t="b">
        <f t="shared" si="0"/>
        <v>1</v>
      </c>
      <c r="F9" s="18">
        <f t="shared" si="1"/>
        <v>67500</v>
      </c>
      <c r="G9">
        <f t="shared" si="2"/>
        <v>38571.428571428572</v>
      </c>
    </row>
    <row r="10" spans="1:9" x14ac:dyDescent="0.3">
      <c r="A10">
        <v>1343</v>
      </c>
      <c r="B10" t="s">
        <v>72</v>
      </c>
      <c r="C10" t="s">
        <v>137</v>
      </c>
      <c r="D10" t="s">
        <v>142</v>
      </c>
      <c r="E10" t="b">
        <f t="shared" si="0"/>
        <v>0</v>
      </c>
      <c r="F10" s="18">
        <f t="shared" si="1"/>
        <v>63333.333333333336</v>
      </c>
      <c r="G10">
        <f t="shared" si="2"/>
        <v>31666.666666666668</v>
      </c>
    </row>
    <row r="11" spans="1:9" x14ac:dyDescent="0.3">
      <c r="A11">
        <v>1343</v>
      </c>
      <c r="B11" t="s">
        <v>126</v>
      </c>
      <c r="C11" t="s">
        <v>138</v>
      </c>
      <c r="D11" t="s">
        <v>142</v>
      </c>
      <c r="E11" t="b">
        <f t="shared" si="0"/>
        <v>0</v>
      </c>
      <c r="F11" s="18">
        <f t="shared" si="1"/>
        <v>76500</v>
      </c>
      <c r="G11">
        <f t="shared" si="2"/>
        <v>30600</v>
      </c>
    </row>
    <row r="12" spans="1:9" x14ac:dyDescent="0.3">
      <c r="A12">
        <v>1343</v>
      </c>
      <c r="B12" t="s">
        <v>127</v>
      </c>
      <c r="C12" t="s">
        <v>139</v>
      </c>
      <c r="D12" s="18">
        <v>98000</v>
      </c>
      <c r="E12" t="b">
        <f t="shared" si="0"/>
        <v>1</v>
      </c>
      <c r="F12" s="18">
        <f t="shared" si="1"/>
        <v>76500</v>
      </c>
      <c r="G12">
        <f t="shared" si="2"/>
        <v>38250</v>
      </c>
    </row>
    <row r="13" spans="1:9" x14ac:dyDescent="0.3">
      <c r="A13">
        <v>1343</v>
      </c>
      <c r="B13" t="s">
        <v>128</v>
      </c>
      <c r="C13" t="s">
        <v>140</v>
      </c>
      <c r="D13" s="18">
        <v>55000</v>
      </c>
      <c r="E13" t="b">
        <f t="shared" si="0"/>
        <v>1</v>
      </c>
      <c r="F13" s="18">
        <f t="shared" si="1"/>
        <v>76500</v>
      </c>
      <c r="G13">
        <f t="shared" si="2"/>
        <v>51000</v>
      </c>
    </row>
    <row r="14" spans="1:9" x14ac:dyDescent="0.3">
      <c r="A14">
        <v>1343</v>
      </c>
      <c r="B14" t="s">
        <v>129</v>
      </c>
      <c r="C14" t="s">
        <v>141</v>
      </c>
      <c r="D14" t="s">
        <v>142</v>
      </c>
      <c r="E14" t="b">
        <f t="shared" si="0"/>
        <v>0</v>
      </c>
      <c r="F14" s="18">
        <f t="shared" si="1"/>
        <v>55000</v>
      </c>
      <c r="G14">
        <f t="shared" si="2"/>
        <v>27500</v>
      </c>
    </row>
    <row r="16" spans="1:9" x14ac:dyDescent="0.3">
      <c r="F16">
        <f>SUM(D3:D14)/7</f>
        <v>52857.142857142855</v>
      </c>
      <c r="G16">
        <f>SUM(D3:D14)/12</f>
        <v>30833.333333333332</v>
      </c>
    </row>
  </sheetData>
  <phoneticPr fontId="2"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4775D-41E9-4DB9-87EB-255176DEF2C3}">
  <dimension ref="A1:I10"/>
  <sheetViews>
    <sheetView workbookViewId="0">
      <selection activeCell="D23" sqref="D23"/>
    </sheetView>
  </sheetViews>
  <sheetFormatPr defaultRowHeight="14.4" x14ac:dyDescent="0.3"/>
  <cols>
    <col min="2" max="2" width="12.5546875" bestFit="1" customWidth="1"/>
    <col min="4" max="4" width="13.109375" bestFit="1" customWidth="1"/>
    <col min="5" max="5" width="16.88671875" bestFit="1" customWidth="1"/>
    <col min="9" max="9" width="18.33203125" customWidth="1"/>
  </cols>
  <sheetData>
    <row r="1" spans="1:9" x14ac:dyDescent="0.3">
      <c r="A1" s="15" t="s">
        <v>143</v>
      </c>
      <c r="B1" s="15" t="s">
        <v>144</v>
      </c>
      <c r="C1" s="15"/>
      <c r="D1" s="15" t="s">
        <v>95</v>
      </c>
      <c r="E1" s="15" t="s">
        <v>157</v>
      </c>
      <c r="G1" t="s">
        <v>155</v>
      </c>
      <c r="I1" s="15" t="s">
        <v>158</v>
      </c>
    </row>
    <row r="2" spans="1:9" x14ac:dyDescent="0.3">
      <c r="A2" t="s">
        <v>145</v>
      </c>
      <c r="B2" t="s">
        <v>154</v>
      </c>
      <c r="D2" t="s">
        <v>5</v>
      </c>
      <c r="E2" t="s">
        <v>162</v>
      </c>
      <c r="I2" s="19" t="s">
        <v>159</v>
      </c>
    </row>
    <row r="3" spans="1:9" x14ac:dyDescent="0.3">
      <c r="A3" t="s">
        <v>146</v>
      </c>
      <c r="B3" t="s">
        <v>156</v>
      </c>
      <c r="D3" t="s">
        <v>9</v>
      </c>
      <c r="E3" t="s">
        <v>162</v>
      </c>
      <c r="I3" s="19" t="s">
        <v>160</v>
      </c>
    </row>
    <row r="4" spans="1:9" x14ac:dyDescent="0.3">
      <c r="A4" t="s">
        <v>147</v>
      </c>
      <c r="D4" t="s">
        <v>7</v>
      </c>
      <c r="I4" s="19" t="s">
        <v>161</v>
      </c>
    </row>
    <row r="5" spans="1:9" x14ac:dyDescent="0.3">
      <c r="A5" t="s">
        <v>148</v>
      </c>
      <c r="D5" t="s">
        <v>124</v>
      </c>
      <c r="I5" s="19" t="s">
        <v>162</v>
      </c>
    </row>
    <row r="6" spans="1:9" x14ac:dyDescent="0.3">
      <c r="A6" t="s">
        <v>149</v>
      </c>
      <c r="D6" t="s">
        <v>123</v>
      </c>
      <c r="I6" s="19" t="s">
        <v>163</v>
      </c>
    </row>
    <row r="7" spans="1:9" x14ac:dyDescent="0.3">
      <c r="A7" t="s">
        <v>150</v>
      </c>
    </row>
    <row r="8" spans="1:9" x14ac:dyDescent="0.3">
      <c r="A8" t="s">
        <v>151</v>
      </c>
    </row>
    <row r="9" spans="1:9" x14ac:dyDescent="0.3">
      <c r="A9" t="s">
        <v>152</v>
      </c>
    </row>
    <row r="10" spans="1:9" x14ac:dyDescent="0.3">
      <c r="A10" t="s">
        <v>153</v>
      </c>
    </row>
  </sheetData>
  <dataValidations count="2">
    <dataValidation type="list" allowBlank="1" showInputMessage="1" showErrorMessage="1" sqref="B2:B10" xr:uid="{F495414C-B34C-4F42-A065-76EB8FD75843}">
      <formula1>"toyoto, kia, maruthi suzuki"</formula1>
    </dataValidation>
    <dataValidation type="list" allowBlank="1" showInputMessage="1" showErrorMessage="1" sqref="E2:E6" xr:uid="{381504F7-1DC9-41D5-981F-79B6ECED2374}">
      <formula1>$I$2:$I$6</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9B295-D682-437B-945E-0EEB3AE0CB31}">
  <dimension ref="A1:L18"/>
  <sheetViews>
    <sheetView workbookViewId="0">
      <selection sqref="A1:L7"/>
    </sheetView>
  </sheetViews>
  <sheetFormatPr defaultRowHeight="14.4" x14ac:dyDescent="0.3"/>
  <cols>
    <col min="1" max="1" width="10.33203125" customWidth="1"/>
    <col min="2" max="2" width="13.88671875" bestFit="1" customWidth="1"/>
    <col min="3" max="4" width="10.33203125" customWidth="1"/>
    <col min="5" max="5" width="11.21875" customWidth="1"/>
    <col min="6" max="8" width="10.33203125" customWidth="1"/>
    <col min="9" max="9" width="12.109375" customWidth="1"/>
    <col min="10" max="11" width="10.33203125" customWidth="1"/>
    <col min="12" max="12" width="11.33203125" customWidth="1"/>
  </cols>
  <sheetData>
    <row r="1" spans="1:12" x14ac:dyDescent="0.3">
      <c r="A1" t="s">
        <v>273</v>
      </c>
      <c r="B1" t="s">
        <v>274</v>
      </c>
      <c r="C1" t="s">
        <v>275</v>
      </c>
      <c r="D1" t="s">
        <v>276</v>
      </c>
      <c r="E1" s="22" t="s">
        <v>177</v>
      </c>
      <c r="F1" t="s">
        <v>277</v>
      </c>
      <c r="G1" t="s">
        <v>278</v>
      </c>
      <c r="H1" t="s">
        <v>279</v>
      </c>
      <c r="I1" s="20" t="s">
        <v>175</v>
      </c>
      <c r="J1" t="s">
        <v>280</v>
      </c>
      <c r="K1" t="s">
        <v>281</v>
      </c>
      <c r="L1" t="s">
        <v>282</v>
      </c>
    </row>
    <row r="2" spans="1:12" x14ac:dyDescent="0.3">
      <c r="A2" s="7" t="s">
        <v>164</v>
      </c>
      <c r="B2" s="7" t="s">
        <v>165</v>
      </c>
      <c r="C2" s="21" t="s">
        <v>166</v>
      </c>
      <c r="D2" s="21" t="s">
        <v>167</v>
      </c>
      <c r="E2" s="21" t="s">
        <v>168</v>
      </c>
      <c r="F2" s="21" t="s">
        <v>176</v>
      </c>
      <c r="G2" s="21" t="s">
        <v>169</v>
      </c>
      <c r="H2" s="20" t="s">
        <v>170</v>
      </c>
      <c r="I2" s="20" t="s">
        <v>171</v>
      </c>
      <c r="J2" s="20" t="s">
        <v>172</v>
      </c>
      <c r="K2" s="20" t="s">
        <v>173</v>
      </c>
      <c r="L2" s="20" t="s">
        <v>174</v>
      </c>
    </row>
    <row r="3" spans="1:12" x14ac:dyDescent="0.3">
      <c r="A3">
        <v>8900</v>
      </c>
      <c r="B3" s="5" t="s">
        <v>122</v>
      </c>
      <c r="C3" s="5">
        <v>51</v>
      </c>
      <c r="D3" s="5">
        <v>93</v>
      </c>
      <c r="E3" s="5">
        <v>63</v>
      </c>
      <c r="F3" s="5">
        <v>35</v>
      </c>
      <c r="G3" s="5">
        <v>85</v>
      </c>
      <c r="H3">
        <f>SUM(C3:G3)</f>
        <v>327</v>
      </c>
      <c r="I3" s="5">
        <f>AVERAGE(H3,)</f>
        <v>163.5</v>
      </c>
      <c r="J3" s="5" t="str">
        <f>IF(AND(C3&gt;=35,D3&gt;=35,E3&gt;=35,F3&gt;=35,G3&gt;=35),"PASS","FAIL")</f>
        <v>PASS</v>
      </c>
      <c r="K3" s="23">
        <f>RANK(H3,$H$3:$H$7,1)</f>
        <v>3</v>
      </c>
      <c r="L3" s="5" t="str">
        <f>IF(I3&lt;=160,"A",IF(I3&gt;=130,"C",IF(I3&gt;=150,"B",IF(I3&gt;=163,"A",RANK(I3,$I$3:$I$7,0)))))</f>
        <v>C</v>
      </c>
    </row>
    <row r="4" spans="1:12" x14ac:dyDescent="0.3">
      <c r="A4">
        <v>8901</v>
      </c>
      <c r="B4" s="5" t="s">
        <v>178</v>
      </c>
      <c r="C4" s="5">
        <v>69</v>
      </c>
      <c r="D4" s="5">
        <v>36</v>
      </c>
      <c r="E4" s="5">
        <v>65</v>
      </c>
      <c r="F4" s="5">
        <v>63</v>
      </c>
      <c r="G4" s="5">
        <v>94</v>
      </c>
      <c r="H4">
        <f>SUM(C4:G4)</f>
        <v>327</v>
      </c>
      <c r="I4" s="5">
        <f>AVERAGE(H4,)</f>
        <v>163.5</v>
      </c>
      <c r="J4" s="5" t="str">
        <f t="shared" ref="J4:J7" si="0">IF(AND(C4&gt;=35,D4&gt;=35,E4&gt;=35,F4&gt;=35,G4&gt;=35),"PASS","FAIL")</f>
        <v>PASS</v>
      </c>
      <c r="K4" s="23">
        <f>RANK(H4,$H$3:$H$7,1)</f>
        <v>3</v>
      </c>
      <c r="L4" s="5" t="str">
        <f>IF(I4&lt;=160,"A",IF(I4&gt;=130,"C",IF(I4&gt;=150,"B",IF(I4&gt;=163,"A",RANK(I4,$I$3:$I$7,0)))))</f>
        <v>C</v>
      </c>
    </row>
    <row r="5" spans="1:12" x14ac:dyDescent="0.3">
      <c r="A5">
        <v>8902</v>
      </c>
      <c r="B5" s="5" t="s">
        <v>9</v>
      </c>
      <c r="C5" s="5">
        <v>92</v>
      </c>
      <c r="D5" s="5">
        <v>37</v>
      </c>
      <c r="E5" s="5">
        <v>71</v>
      </c>
      <c r="F5" s="5">
        <v>41</v>
      </c>
      <c r="G5" s="5">
        <v>89</v>
      </c>
      <c r="H5">
        <f>SUM(C5:G5)</f>
        <v>330</v>
      </c>
      <c r="I5" s="5">
        <f>AVERAGE(H5,)</f>
        <v>165</v>
      </c>
      <c r="J5" s="5" t="str">
        <f t="shared" si="0"/>
        <v>PASS</v>
      </c>
      <c r="K5" s="23">
        <f>RANK(H5,$H$3:$H$7,1)</f>
        <v>5</v>
      </c>
      <c r="L5" s="5" t="str">
        <f>IF(I5&lt;=160,"A",IF(I5&gt;=130,"C",IF(I5&gt;=150,"B",IF(I5&gt;=163,"A",RANK(I5,$I$3:$I$7,0)))))</f>
        <v>C</v>
      </c>
    </row>
    <row r="6" spans="1:12" x14ac:dyDescent="0.3">
      <c r="A6">
        <v>8903</v>
      </c>
      <c r="B6" s="5" t="s">
        <v>123</v>
      </c>
      <c r="C6" s="5">
        <v>70</v>
      </c>
      <c r="D6" s="5">
        <v>62</v>
      </c>
      <c r="E6" s="5">
        <v>88</v>
      </c>
      <c r="F6" s="5">
        <v>27</v>
      </c>
      <c r="G6" s="5">
        <v>70</v>
      </c>
      <c r="H6">
        <f>SUM(C6:G6)</f>
        <v>317</v>
      </c>
      <c r="I6" s="5">
        <f>AVERAGE(H6,)</f>
        <v>158.5</v>
      </c>
      <c r="J6" s="5" t="str">
        <f t="shared" si="0"/>
        <v>FAIL</v>
      </c>
      <c r="K6" s="23">
        <f>RANK(H6,$H$3:$H$7,1)</f>
        <v>1</v>
      </c>
      <c r="L6" s="5" t="str">
        <f>IF(I6&lt;=160,"A",IF(I6&gt;=130,"C",IF(I6&gt;=150,"B",IF(I6&gt;=163,"A",RANK(I6,$I$3:$I$7,0)))))</f>
        <v>A</v>
      </c>
    </row>
    <row r="7" spans="1:12" x14ac:dyDescent="0.3">
      <c r="A7">
        <v>8904</v>
      </c>
      <c r="B7" s="5" t="s">
        <v>124</v>
      </c>
      <c r="C7" s="5">
        <v>59</v>
      </c>
      <c r="D7" s="5">
        <v>81</v>
      </c>
      <c r="E7" s="5">
        <v>69</v>
      </c>
      <c r="F7" s="5">
        <v>39</v>
      </c>
      <c r="G7" s="5">
        <v>78</v>
      </c>
      <c r="H7">
        <f>SUM(C7:G7)</f>
        <v>326</v>
      </c>
      <c r="I7" s="5">
        <f>AVERAGE(H7,)</f>
        <v>163</v>
      </c>
      <c r="J7" s="5" t="str">
        <f t="shared" si="0"/>
        <v>PASS</v>
      </c>
      <c r="K7" s="23">
        <f>RANK(H7,$H$3:$H$7,1)</f>
        <v>2</v>
      </c>
      <c r="L7" s="5" t="str">
        <f>IF(I7&lt;=160,"A",IF(I7&gt;=130,"C",IF(I7&gt;=150,"B",IF(I7&gt;=163,"A",RANK(I7,$I$3:$I$7,0)))))</f>
        <v>C</v>
      </c>
    </row>
    <row r="11" spans="1:12" x14ac:dyDescent="0.3">
      <c r="A11" t="s">
        <v>179</v>
      </c>
    </row>
    <row r="18" spans="5:5" x14ac:dyDescent="0.3">
      <c r="E18" t="s">
        <v>179</v>
      </c>
    </row>
  </sheetData>
  <sortState xmlns:xlrd2="http://schemas.microsoft.com/office/spreadsheetml/2017/richdata2" ref="H3:H7">
    <sortCondition sortBy="cellColor" ref="H3:H7" dxfId="90"/>
    <sortCondition sortBy="cellColor" ref="H3:H7" dxfId="89"/>
    <sortCondition sortBy="cellColor" ref="H3:H7" dxfId="88"/>
  </sortState>
  <conditionalFormatting sqref="C3:G7">
    <cfRule type="iconSet" priority="1">
      <iconSet iconSet="3Symbols">
        <cfvo type="percent" val="0"/>
        <cfvo type="percent" val="33"/>
        <cfvo type="percent" val="67"/>
      </iconSet>
    </cfRule>
    <cfRule type="cellIs" dxfId="15" priority="12" operator="between">
      <formula>35</formula>
      <formula>70</formula>
    </cfRule>
    <cfRule type="cellIs" dxfId="14" priority="13" operator="greaterThan">
      <formula>75</formula>
    </cfRule>
    <cfRule type="cellIs" dxfId="13" priority="14" operator="greaterThan">
      <formula>60</formula>
    </cfRule>
    <cfRule type="cellIs" dxfId="12" priority="15" operator="greaterThan">
      <formula>60</formula>
    </cfRule>
    <cfRule type="cellIs" dxfId="11" priority="16" operator="between">
      <formula>75</formula>
      <formula>100</formula>
    </cfRule>
    <cfRule type="cellIs" dxfId="10" priority="17" operator="greaterThan">
      <formula>70</formula>
    </cfRule>
    <cfRule type="cellIs" dxfId="9" priority="18" operator="lessThan">
      <formula>35</formula>
    </cfRule>
    <cfRule type="cellIs" dxfId="8" priority="19" operator="lessThan">
      <formula>40</formula>
    </cfRule>
  </conditionalFormatting>
  <conditionalFormatting sqref="H3:H7">
    <cfRule type="colorScale" priority="3">
      <colorScale>
        <cfvo type="min"/>
        <cfvo type="max"/>
        <color rgb="FFF8696B"/>
        <color rgb="FFFCFCFF"/>
      </colorScale>
    </cfRule>
  </conditionalFormatting>
  <conditionalFormatting sqref="I3:I7">
    <cfRule type="dataBar" priority="2">
      <dataBar>
        <cfvo type="min"/>
        <cfvo type="max"/>
        <color rgb="FF638EC6"/>
      </dataBar>
      <extLst>
        <ext xmlns:x14="http://schemas.microsoft.com/office/spreadsheetml/2009/9/main" uri="{B025F937-C7B1-47D3-B67F-A62EFF666E3E}">
          <x14:id>{07EBB0A6-371D-4A92-B6BA-6784A6FEDF5C}</x14:id>
        </ext>
      </extLst>
    </cfRule>
  </conditionalFormatting>
  <conditionalFormatting sqref="J2:J7">
    <cfRule type="containsText" dxfId="7" priority="10" operator="containsText" text="FAIL">
      <formula>NOT(ISERROR(SEARCH("FAIL",J2)))</formula>
    </cfRule>
    <cfRule type="containsText" dxfId="6" priority="11" operator="containsText" text="PASS">
      <formula>NOT(ISERROR(SEARCH("PASS",J2)))</formula>
    </cfRule>
  </conditionalFormatting>
  <conditionalFormatting sqref="K2:K7">
    <cfRule type="cellIs" dxfId="5" priority="6" operator="between">
      <formula>5</formula>
      <formula>6</formula>
    </cfRule>
    <cfRule type="cellIs" dxfId="4" priority="7" operator="greaterThan">
      <formula>5</formula>
    </cfRule>
    <cfRule type="cellIs" dxfId="3" priority="8" operator="between">
      <formula>3</formula>
      <formula>4</formula>
    </cfRule>
    <cfRule type="cellIs" dxfId="2" priority="9" operator="between">
      <formula>1</formula>
      <formula>2</formula>
    </cfRule>
  </conditionalFormatting>
  <conditionalFormatting sqref="L3:L7">
    <cfRule type="containsText" dxfId="1" priority="4" operator="containsText" text="C">
      <formula>NOT(ISERROR(SEARCH("C",L3)))</formula>
    </cfRule>
    <cfRule type="containsText" dxfId="0" priority="5" operator="containsText" text="A">
      <formula>NOT(ISERROR(SEARCH("A",L3)))</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07EBB0A6-371D-4A92-B6BA-6784A6FEDF5C}">
            <x14:dataBar minLength="0" maxLength="100" border="1" negativeBarBorderColorSameAsPositive="0">
              <x14:cfvo type="autoMin"/>
              <x14:cfvo type="autoMax"/>
              <x14:borderColor rgb="FF638EC6"/>
              <x14:negativeFillColor rgb="FFFF0000"/>
              <x14:negativeBorderColor rgb="FFFF0000"/>
              <x14:axisColor rgb="FF000000"/>
            </x14:dataBar>
          </x14:cfRule>
          <xm:sqref>I3:I7</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0779E-B017-42D5-8678-2F47AB339BCC}">
  <dimension ref="A1:N12"/>
  <sheetViews>
    <sheetView workbookViewId="0">
      <selection sqref="A1:M12"/>
    </sheetView>
  </sheetViews>
  <sheetFormatPr defaultRowHeight="14.4" x14ac:dyDescent="0.3"/>
  <cols>
    <col min="1" max="1" width="9.109375" customWidth="1"/>
    <col min="2" max="2" width="14.5546875" customWidth="1"/>
    <col min="6" max="6" width="9.33203125" customWidth="1"/>
    <col min="9" max="9" width="9.44140625" customWidth="1"/>
    <col min="13" max="13" width="16.5546875" bestFit="1" customWidth="1"/>
    <col min="15" max="15" width="10.33203125" customWidth="1"/>
  </cols>
  <sheetData>
    <row r="1" spans="1:14" x14ac:dyDescent="0.3">
      <c r="A1" s="7" t="s">
        <v>180</v>
      </c>
      <c r="B1" s="7" t="s">
        <v>181</v>
      </c>
      <c r="C1" s="7" t="s">
        <v>182</v>
      </c>
      <c r="D1" s="7" t="s">
        <v>183</v>
      </c>
      <c r="E1" s="7" t="s">
        <v>184</v>
      </c>
      <c r="F1" s="7" t="s">
        <v>185</v>
      </c>
      <c r="G1" s="7" t="s">
        <v>186</v>
      </c>
      <c r="H1" s="7" t="s">
        <v>187</v>
      </c>
      <c r="I1" s="7" t="s">
        <v>188</v>
      </c>
      <c r="J1" s="7" t="s">
        <v>189</v>
      </c>
      <c r="K1" s="7" t="s">
        <v>190</v>
      </c>
      <c r="L1" s="7" t="s">
        <v>191</v>
      </c>
      <c r="M1" s="7" t="s">
        <v>192</v>
      </c>
      <c r="N1" s="7"/>
    </row>
    <row r="2" spans="1:14" hidden="1" x14ac:dyDescent="0.3">
      <c r="A2">
        <v>765890</v>
      </c>
      <c r="B2" t="s">
        <v>194</v>
      </c>
      <c r="C2" s="5">
        <v>48</v>
      </c>
      <c r="D2" s="5">
        <v>87</v>
      </c>
      <c r="E2" s="5">
        <v>24</v>
      </c>
      <c r="F2" s="5">
        <v>89</v>
      </c>
      <c r="G2" s="5">
        <v>86</v>
      </c>
      <c r="H2" s="5">
        <f t="shared" ref="H2:H8" si="0">SUM(C2:G2)</f>
        <v>334</v>
      </c>
      <c r="I2">
        <f t="shared" ref="I2:I12" si="1">AVERAGE(H2)</f>
        <v>334</v>
      </c>
      <c r="J2" s="5" t="str">
        <f t="shared" ref="J2:J12" si="2">IF(AND(C2&gt;=35,D2&gt;=35,E2&gt;=35,F2&gt;=35,G2&gt;=35),"PASS","FAIL")</f>
        <v>FAIL</v>
      </c>
      <c r="K2" s="5">
        <f t="shared" ref="K2:K12" si="3">_xlfn.RANK.EQ(H2,$H$2:$H$12)+COUNTIF(H2:H12,H2)-1</f>
        <v>3</v>
      </c>
      <c r="L2" s="5" t="str">
        <f t="shared" ref="L2:L12" si="4">IF(H2&gt;=350,"A+",IF(H2&gt;=330,"A",IF(H2&gt;=315,"B",IF(H2&gt;300,"C",IF(H2&gt;=270,"D",IF(H2&lt;=259,"NO GRAD"))))))</f>
        <v>A</v>
      </c>
      <c r="M2" s="24">
        <f t="shared" ref="M2:M12" ca="1" si="5">NOW()</f>
        <v>45937.033661226851</v>
      </c>
    </row>
    <row r="3" spans="1:14" hidden="1" x14ac:dyDescent="0.3">
      <c r="A3">
        <v>765890</v>
      </c>
      <c r="B3" t="s">
        <v>65</v>
      </c>
      <c r="C3" s="5">
        <v>74</v>
      </c>
      <c r="D3" s="5">
        <v>65</v>
      </c>
      <c r="E3" s="5">
        <v>78</v>
      </c>
      <c r="F3" s="5">
        <v>53</v>
      </c>
      <c r="G3" s="5">
        <v>32</v>
      </c>
      <c r="H3" s="5">
        <f t="shared" si="0"/>
        <v>302</v>
      </c>
      <c r="I3">
        <f t="shared" si="1"/>
        <v>302</v>
      </c>
      <c r="J3" s="5" t="str">
        <f t="shared" si="2"/>
        <v>FAIL</v>
      </c>
      <c r="K3" s="5">
        <f t="shared" si="3"/>
        <v>7</v>
      </c>
      <c r="L3" s="5" t="str">
        <f t="shared" si="4"/>
        <v>C</v>
      </c>
      <c r="M3" s="24">
        <f t="shared" ca="1" si="5"/>
        <v>45937.033661226851</v>
      </c>
    </row>
    <row r="4" spans="1:14" hidden="1" x14ac:dyDescent="0.3">
      <c r="A4">
        <v>765890</v>
      </c>
      <c r="B4" t="s">
        <v>80</v>
      </c>
      <c r="C4" s="5">
        <v>78</v>
      </c>
      <c r="D4" s="5">
        <v>64</v>
      </c>
      <c r="E4" s="5">
        <v>57</v>
      </c>
      <c r="F4" s="5">
        <v>98</v>
      </c>
      <c r="G4" s="5">
        <v>25</v>
      </c>
      <c r="H4" s="5">
        <f t="shared" si="0"/>
        <v>322</v>
      </c>
      <c r="I4">
        <f t="shared" si="1"/>
        <v>322</v>
      </c>
      <c r="J4" s="5" t="str">
        <f t="shared" si="2"/>
        <v>FAIL</v>
      </c>
      <c r="K4" s="5">
        <f t="shared" si="3"/>
        <v>6</v>
      </c>
      <c r="L4" s="5" t="str">
        <f t="shared" si="4"/>
        <v>B</v>
      </c>
      <c r="M4" s="24">
        <f t="shared" ca="1" si="5"/>
        <v>45937.033661226851</v>
      </c>
    </row>
    <row r="5" spans="1:14" hidden="1" x14ac:dyDescent="0.3">
      <c r="A5">
        <v>765890</v>
      </c>
      <c r="B5" t="s">
        <v>193</v>
      </c>
      <c r="C5" s="5">
        <v>56</v>
      </c>
      <c r="D5" s="5">
        <v>98</v>
      </c>
      <c r="E5" s="5">
        <v>73</v>
      </c>
      <c r="F5" s="5">
        <v>57</v>
      </c>
      <c r="G5" s="5">
        <v>78</v>
      </c>
      <c r="H5" s="5">
        <f t="shared" si="0"/>
        <v>362</v>
      </c>
      <c r="I5">
        <f t="shared" si="1"/>
        <v>362</v>
      </c>
      <c r="J5" s="5" t="str">
        <f t="shared" si="2"/>
        <v>PASS</v>
      </c>
      <c r="K5" s="5">
        <f t="shared" si="3"/>
        <v>1</v>
      </c>
      <c r="L5" s="5" t="str">
        <f t="shared" si="4"/>
        <v>A+</v>
      </c>
      <c r="M5" s="24">
        <f t="shared" ca="1" si="5"/>
        <v>45937.033661226851</v>
      </c>
    </row>
    <row r="6" spans="1:14" hidden="1" x14ac:dyDescent="0.3">
      <c r="A6">
        <v>651066</v>
      </c>
      <c r="B6" t="s">
        <v>123</v>
      </c>
      <c r="C6" s="5">
        <v>91</v>
      </c>
      <c r="D6" s="5">
        <v>23</v>
      </c>
      <c r="E6" s="5">
        <v>29</v>
      </c>
      <c r="F6" s="5">
        <v>67</v>
      </c>
      <c r="G6" s="5">
        <v>86</v>
      </c>
      <c r="H6" s="5">
        <f t="shared" si="0"/>
        <v>296</v>
      </c>
      <c r="I6">
        <f t="shared" si="1"/>
        <v>296</v>
      </c>
      <c r="J6" s="5" t="str">
        <f t="shared" si="2"/>
        <v>FAIL</v>
      </c>
      <c r="K6" s="5">
        <f t="shared" si="3"/>
        <v>8</v>
      </c>
      <c r="L6" s="5" t="str">
        <f t="shared" si="4"/>
        <v>D</v>
      </c>
      <c r="M6" s="24">
        <f t="shared" ca="1" si="5"/>
        <v>45937.033661226851</v>
      </c>
    </row>
    <row r="7" spans="1:14" x14ac:dyDescent="0.3">
      <c r="A7">
        <v>651066</v>
      </c>
      <c r="B7" t="s">
        <v>9</v>
      </c>
      <c r="C7" s="5">
        <v>84</v>
      </c>
      <c r="D7" s="5">
        <v>78</v>
      </c>
      <c r="E7" s="5">
        <v>56</v>
      </c>
      <c r="F7" s="5">
        <v>86</v>
      </c>
      <c r="G7" s="5">
        <v>54</v>
      </c>
      <c r="H7" s="5">
        <f t="shared" si="0"/>
        <v>358</v>
      </c>
      <c r="I7">
        <f t="shared" si="1"/>
        <v>358</v>
      </c>
      <c r="J7" s="5" t="str">
        <f t="shared" si="2"/>
        <v>PASS</v>
      </c>
      <c r="K7" s="5">
        <f t="shared" si="3"/>
        <v>2</v>
      </c>
      <c r="L7" s="5" t="str">
        <f t="shared" si="4"/>
        <v>A+</v>
      </c>
      <c r="M7" s="24">
        <f t="shared" ca="1" si="5"/>
        <v>45937.033661226851</v>
      </c>
    </row>
    <row r="8" spans="1:14" x14ac:dyDescent="0.3">
      <c r="A8">
        <v>651066</v>
      </c>
      <c r="B8" t="s">
        <v>5</v>
      </c>
      <c r="C8" s="5">
        <v>76</v>
      </c>
      <c r="D8" s="5">
        <v>47</v>
      </c>
      <c r="E8" s="5">
        <v>94</v>
      </c>
      <c r="F8" s="5">
        <v>43</v>
      </c>
      <c r="G8" s="5">
        <v>67</v>
      </c>
      <c r="H8" s="5">
        <f t="shared" si="0"/>
        <v>327</v>
      </c>
      <c r="I8">
        <f t="shared" si="1"/>
        <v>327</v>
      </c>
      <c r="J8" s="5" t="str">
        <f t="shared" si="2"/>
        <v>PASS</v>
      </c>
      <c r="K8" s="5">
        <f t="shared" si="3"/>
        <v>5</v>
      </c>
      <c r="L8" s="5" t="str">
        <f t="shared" si="4"/>
        <v>B</v>
      </c>
      <c r="M8" s="24">
        <f t="shared" ca="1" si="5"/>
        <v>45937.033661226851</v>
      </c>
    </row>
    <row r="9" spans="1:14" x14ac:dyDescent="0.3">
      <c r="A9">
        <v>651066</v>
      </c>
      <c r="B9" t="s">
        <v>124</v>
      </c>
      <c r="C9" s="5">
        <v>88</v>
      </c>
      <c r="D9" s="5">
        <v>65</v>
      </c>
      <c r="E9" s="5">
        <v>34</v>
      </c>
      <c r="F9" s="5">
        <v>65</v>
      </c>
      <c r="G9" s="5">
        <v>25</v>
      </c>
      <c r="H9" s="5">
        <v>0</v>
      </c>
      <c r="I9">
        <f t="shared" si="1"/>
        <v>0</v>
      </c>
      <c r="J9" s="5" t="str">
        <f t="shared" si="2"/>
        <v>FAIL</v>
      </c>
      <c r="K9" s="5">
        <f t="shared" si="3"/>
        <v>11</v>
      </c>
      <c r="L9" s="5" t="str">
        <f t="shared" si="4"/>
        <v>NO GRAD</v>
      </c>
      <c r="M9" s="24">
        <f t="shared" ca="1" si="5"/>
        <v>45937.033661226851</v>
      </c>
    </row>
    <row r="10" spans="1:14" hidden="1" x14ac:dyDescent="0.3">
      <c r="A10">
        <v>765890</v>
      </c>
      <c r="B10" t="s">
        <v>72</v>
      </c>
      <c r="C10" s="5">
        <v>33</v>
      </c>
      <c r="D10" s="5">
        <v>38</v>
      </c>
      <c r="E10" s="5">
        <v>85</v>
      </c>
      <c r="F10" s="5">
        <v>56</v>
      </c>
      <c r="G10" s="5">
        <v>78</v>
      </c>
      <c r="H10" s="5">
        <f>SUM(C10:G10)</f>
        <v>290</v>
      </c>
      <c r="I10">
        <f t="shared" si="1"/>
        <v>290</v>
      </c>
      <c r="J10" s="5" t="str">
        <f t="shared" si="2"/>
        <v>FAIL</v>
      </c>
      <c r="K10" s="5">
        <f t="shared" si="3"/>
        <v>9</v>
      </c>
      <c r="L10" s="5" t="str">
        <f t="shared" si="4"/>
        <v>D</v>
      </c>
      <c r="M10" s="24">
        <f t="shared" ca="1" si="5"/>
        <v>45937.033661226851</v>
      </c>
    </row>
    <row r="11" spans="1:14" hidden="1" x14ac:dyDescent="0.3">
      <c r="A11">
        <v>651066</v>
      </c>
      <c r="B11" t="s">
        <v>7</v>
      </c>
      <c r="C11" s="5">
        <v>38</v>
      </c>
      <c r="D11" s="5">
        <v>73</v>
      </c>
      <c r="E11" s="5">
        <v>83</v>
      </c>
      <c r="F11" s="5">
        <v>65</v>
      </c>
      <c r="G11" s="5">
        <v>68</v>
      </c>
      <c r="H11" s="5">
        <f>SUM(C11:G11)</f>
        <v>327</v>
      </c>
      <c r="I11">
        <f t="shared" si="1"/>
        <v>327</v>
      </c>
      <c r="J11" s="5" t="str">
        <f t="shared" si="2"/>
        <v>PASS</v>
      </c>
      <c r="K11" s="5">
        <f t="shared" si="3"/>
        <v>4</v>
      </c>
      <c r="L11" s="5" t="str">
        <f t="shared" si="4"/>
        <v>B</v>
      </c>
      <c r="M11" s="24">
        <f t="shared" ca="1" si="5"/>
        <v>45937.033661226851</v>
      </c>
    </row>
    <row r="12" spans="1:14" hidden="1" x14ac:dyDescent="0.3">
      <c r="A12">
        <v>765890</v>
      </c>
      <c r="B12" t="s">
        <v>64</v>
      </c>
      <c r="C12" s="5">
        <v>36</v>
      </c>
      <c r="D12" s="5">
        <v>49</v>
      </c>
      <c r="E12" s="5">
        <v>63</v>
      </c>
      <c r="F12" s="5">
        <v>26</v>
      </c>
      <c r="G12" s="5">
        <v>84</v>
      </c>
      <c r="H12" s="5">
        <f>SUM(C12:G12)</f>
        <v>258</v>
      </c>
      <c r="I12">
        <f t="shared" si="1"/>
        <v>258</v>
      </c>
      <c r="J12" s="5" t="str">
        <f t="shared" si="2"/>
        <v>FAIL</v>
      </c>
      <c r="K12" s="5">
        <f t="shared" si="3"/>
        <v>10</v>
      </c>
      <c r="L12" s="5" t="str">
        <f t="shared" si="4"/>
        <v>NO GRAD</v>
      </c>
      <c r="M12" s="24">
        <f t="shared" ca="1" si="5"/>
        <v>45937.033661226851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A01A7-6777-4875-97AE-E74F681E06DE}">
  <dimension ref="A1:G10"/>
  <sheetViews>
    <sheetView workbookViewId="0">
      <selection activeCell="G4" sqref="G4"/>
    </sheetView>
  </sheetViews>
  <sheetFormatPr defaultRowHeight="14.4" x14ac:dyDescent="0.3"/>
  <cols>
    <col min="1" max="1" width="13.44140625" bestFit="1" customWidth="1"/>
    <col min="2" max="2" width="13.88671875" bestFit="1" customWidth="1"/>
    <col min="3" max="3" width="12" bestFit="1" customWidth="1"/>
    <col min="5" max="5" width="7.88671875" bestFit="1" customWidth="1"/>
  </cols>
  <sheetData>
    <row r="1" spans="1:7" x14ac:dyDescent="0.3">
      <c r="A1" s="7" t="s">
        <v>195</v>
      </c>
    </row>
    <row r="3" spans="1:7" x14ac:dyDescent="0.3">
      <c r="A3" s="25" t="s">
        <v>196</v>
      </c>
      <c r="B3" s="25" t="s">
        <v>165</v>
      </c>
      <c r="C3" s="25" t="s">
        <v>197</v>
      </c>
      <c r="D3" s="25" t="s">
        <v>198</v>
      </c>
      <c r="F3" s="25" t="s">
        <v>199</v>
      </c>
      <c r="G3" s="25" t="s">
        <v>200</v>
      </c>
    </row>
    <row r="4" spans="1:7" x14ac:dyDescent="0.3">
      <c r="A4">
        <v>715067</v>
      </c>
      <c r="B4" t="s">
        <v>201</v>
      </c>
    </row>
    <row r="10" spans="1:7" x14ac:dyDescent="0.3">
      <c r="C10" s="26">
        <v>46001</v>
      </c>
      <c r="D10" t="s">
        <v>202</v>
      </c>
    </row>
  </sheetData>
  <dataValidations count="5">
    <dataValidation type="whole" allowBlank="1" showInputMessage="1" showErrorMessage="1" errorTitle="NOTED" error="SONA PURIYATHA DA MENTTAL" promptTitle="NOTED" prompt="715048 AND 715069 MATUMTHA ENTERY SERI" sqref="A3:A10" xr:uid="{812CEEF6-8B5A-445E-A2C4-466FDA3E0685}">
      <formula1>715048</formula1>
      <formula2>715069</formula2>
    </dataValidation>
    <dataValidation type="textLength" allowBlank="1" showInputMessage="1" showErrorMessage="1" sqref="B4:B10" xr:uid="{52CAF0C2-BF43-4D54-B6AA-8287DDCE6DA0}">
      <formula1>1</formula1>
      <formula2>15</formula2>
    </dataValidation>
    <dataValidation type="date" allowBlank="1" showInputMessage="1" showErrorMessage="1" promptTitle="JOIN ADMISION" prompt=" AGUST TO JANURAY3MONTHS " sqref="C4:C10" xr:uid="{393B952F-97ED-4953-9083-2072CE32D4DD}">
      <formula1>45870</formula1>
      <formula2>46023</formula2>
    </dataValidation>
    <dataValidation type="list" allowBlank="1" showInputMessage="1" showErrorMessage="1" promptTitle="Choose coures" prompt="choice is yours" sqref="D4:D10" xr:uid="{2991BBD7-42AC-48FF-980B-CCDD72A0D2F5}">
      <formula1>"DATA ANAYSIC,SCIENCE,AI&amp;DS,CS,EEE"</formula1>
    </dataValidation>
    <dataValidation type="decimal" allowBlank="1" showInputMessage="1" showErrorMessage="1" promptTitle="decimal no" prompt="0.5 to 10.5 matumtha da entery" sqref="F4:F10" xr:uid="{D240D4A7-E793-4E2C-9B22-5D1C8C957C62}">
      <formula1>0.5</formula1>
      <formula2>10.5</formula2>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40CB-353F-4A1E-BC2E-1E22F1B7E314}">
  <dimension ref="A1:E6"/>
  <sheetViews>
    <sheetView workbookViewId="0">
      <selection activeCell="H28" sqref="H28"/>
    </sheetView>
  </sheetViews>
  <sheetFormatPr defaultRowHeight="14.4" x14ac:dyDescent="0.3"/>
  <cols>
    <col min="1" max="1" width="12.77734375" bestFit="1" customWidth="1"/>
    <col min="5" max="5" width="21.77734375" bestFit="1" customWidth="1"/>
  </cols>
  <sheetData>
    <row r="1" spans="1:5" s="7" customFormat="1" x14ac:dyDescent="0.3">
      <c r="A1" s="27" t="s">
        <v>203</v>
      </c>
      <c r="B1" s="27" t="s">
        <v>204</v>
      </c>
      <c r="C1" s="27" t="s">
        <v>118</v>
      </c>
      <c r="E1" s="7" t="s">
        <v>210</v>
      </c>
    </row>
    <row r="2" spans="1:5" x14ac:dyDescent="0.3">
      <c r="A2" s="5" t="s">
        <v>205</v>
      </c>
      <c r="B2" s="28">
        <v>25000</v>
      </c>
      <c r="C2" s="28">
        <v>30000</v>
      </c>
    </row>
    <row r="3" spans="1:5" x14ac:dyDescent="0.3">
      <c r="A3" s="5" t="s">
        <v>206</v>
      </c>
      <c r="B3" s="28">
        <v>35000</v>
      </c>
      <c r="C3" s="28">
        <v>40000</v>
      </c>
    </row>
    <row r="4" spans="1:5" x14ac:dyDescent="0.3">
      <c r="A4" s="5" t="s">
        <v>207</v>
      </c>
      <c r="B4" s="28">
        <v>20000</v>
      </c>
      <c r="C4" s="28">
        <v>25000</v>
      </c>
    </row>
    <row r="5" spans="1:5" x14ac:dyDescent="0.3">
      <c r="A5" s="5" t="s">
        <v>208</v>
      </c>
      <c r="B5" s="28">
        <v>40000</v>
      </c>
      <c r="C5" s="28">
        <v>45000</v>
      </c>
    </row>
    <row r="6" spans="1:5" x14ac:dyDescent="0.3">
      <c r="A6" s="5" t="s">
        <v>209</v>
      </c>
      <c r="B6" s="28">
        <v>38000</v>
      </c>
      <c r="C6" s="28">
        <v>43000</v>
      </c>
    </row>
  </sheetData>
  <pageMargins left="0.7" right="0.7" top="0.75" bottom="0.75" header="0.3" footer="0.3"/>
  <drawing r:id="rId1"/>
  <extLst>
    <ext xmlns:x14="http://schemas.microsoft.com/office/spreadsheetml/2009/9/main" uri="{05C60535-1F16-4fd2-B633-F4F36F0B64E0}">
      <x14:sparklineGroups xmlns:xm="http://schemas.microsoft.com/office/excel/2006/main">
        <x14:sparklineGroup type="column" displayEmptyCellsAs="gap" high="1" low="1" first="1" last="1" negative="1" displayXAxis="1" xr2:uid="{BC94E397-CFB1-48E5-9186-0EC3B4F2A55E}">
          <x14:colorSeries theme="8" tint="-0.499984740745262"/>
          <x14:colorNegative theme="9"/>
          <x14:colorAxis rgb="FF000000"/>
          <x14:colorMarkers theme="8" tint="-0.499984740745262"/>
          <x14:colorFirst theme="8" tint="0.39997558519241921"/>
          <x14:colorLast theme="8" tint="0.39997558519241921"/>
          <x14:colorHigh theme="8"/>
          <x14:colorLow theme="8"/>
          <x14:sparklines>
            <x14:sparkline>
              <xm:f>'Chart,v13'!B4:C4</xm:f>
              <xm:sqref>E4</xm:sqref>
            </x14:sparkline>
          </x14:sparklines>
        </x14:sparklineGroup>
        <x14:sparklineGroup type="stacked" displayEmptyCellsAs="gap" high="1" displayXAxis="1" xr2:uid="{3DE710F3-CEB7-492D-B68F-B4179689CC56}">
          <x14:colorSeries theme="8" tint="-0.499984740745262"/>
          <x14:colorNegative theme="9"/>
          <x14:colorAxis rgb="FF000000"/>
          <x14:colorMarkers theme="8" tint="-0.499984740745262"/>
          <x14:colorFirst theme="8" tint="0.39997558519241921"/>
          <x14:colorLast theme="8" tint="0.39997558519241921"/>
          <x14:colorHigh theme="8"/>
          <x14:colorLow theme="8"/>
          <x14:sparklines>
            <x14:sparkline>
              <xm:f>'Chart,v13'!B2:C2</xm:f>
              <xm:sqref>E2</xm:sqref>
            </x14:sparkline>
            <x14:sparkline>
              <xm:f>'Chart,v13'!B3:C3</xm:f>
              <xm:sqref>E3</xm:sqref>
            </x14:sparkline>
            <x14:sparkline>
              <xm:f>'Chart,v13'!B5:C5</xm:f>
              <xm:sqref>E5</xm:sqref>
            </x14:sparkline>
            <x14:sparkline>
              <xm:f>'Chart,v13'!B6:C6</xm:f>
              <xm:sqref>E6</xm:sqref>
            </x14:sparkline>
          </x14:sparklines>
        </x14:sparklineGroup>
        <x14:sparklineGroup displayEmptyCellsAs="gap" xr2:uid="{FDAA6715-B851-42FC-B390-4F852CD5A6BC}">
          <x14:colorSeries theme="3" tint="0.34998626667073579"/>
          <x14:colorNegative theme="0" tint="-0.249977111117893"/>
          <x14:colorAxis rgb="FF000000"/>
          <x14:colorMarkers theme="0" tint="-0.249977111117893"/>
          <x14:colorFirst theme="0" tint="-0.249977111117893"/>
          <x14:colorLast theme="0" tint="-0.249977111117893"/>
          <x14:colorHigh theme="0" tint="-0.249977111117893"/>
          <x14:colorLow theme="0" tint="-0.249977111117893"/>
          <x14:sparklines>
            <x14:sparkline>
              <xm:f>'Chart,v13'!G2:G6</xm:f>
              <xm:sqref>A2</xm:sqref>
            </x14:sparkline>
            <x14:sparkline>
              <xm:f>'Chart,v13'!H2:H6</xm:f>
              <xm:sqref>B2</xm:sqref>
            </x14:sparkline>
            <x14:sparkline>
              <xm:f>'Chart,v13'!I2:I6</xm:f>
              <xm:sqref>C2</xm:sqref>
            </x14:sparkline>
          </x14:sparklines>
        </x14:sparklineGroup>
      </x14:sparklineGroup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E37E4-62DA-4CA2-BD9E-27B5CE724E2E}">
  <dimension ref="A3:C24"/>
  <sheetViews>
    <sheetView workbookViewId="0">
      <selection activeCell="A3" sqref="A3"/>
    </sheetView>
  </sheetViews>
  <sheetFormatPr defaultRowHeight="14.4" x14ac:dyDescent="0.3"/>
  <cols>
    <col min="1" max="1" width="12.5546875" bestFit="1" customWidth="1"/>
    <col min="2" max="2" width="14" bestFit="1" customWidth="1"/>
    <col min="3" max="3" width="17.88671875" bestFit="1" customWidth="1"/>
  </cols>
  <sheetData>
    <row r="3" spans="1:3" x14ac:dyDescent="0.3">
      <c r="A3" s="29" t="s">
        <v>217</v>
      </c>
      <c r="B3" t="s">
        <v>225</v>
      </c>
      <c r="C3" t="s">
        <v>219</v>
      </c>
    </row>
    <row r="4" spans="1:3" x14ac:dyDescent="0.3">
      <c r="A4" s="30" t="s">
        <v>214</v>
      </c>
      <c r="B4">
        <v>558240</v>
      </c>
      <c r="C4">
        <v>3703</v>
      </c>
    </row>
    <row r="5" spans="1:3" x14ac:dyDescent="0.3">
      <c r="A5" s="31" t="s">
        <v>9</v>
      </c>
      <c r="B5">
        <v>997</v>
      </c>
      <c r="C5">
        <v>2256</v>
      </c>
    </row>
    <row r="6" spans="1:3" x14ac:dyDescent="0.3">
      <c r="A6" s="31" t="s">
        <v>5</v>
      </c>
      <c r="B6">
        <v>24324</v>
      </c>
      <c r="C6">
        <v>535</v>
      </c>
    </row>
    <row r="7" spans="1:3" x14ac:dyDescent="0.3">
      <c r="A7" s="31" t="s">
        <v>71</v>
      </c>
      <c r="B7">
        <v>566</v>
      </c>
      <c r="C7">
        <v>457</v>
      </c>
    </row>
    <row r="8" spans="1:3" x14ac:dyDescent="0.3">
      <c r="A8" s="31" t="s">
        <v>7</v>
      </c>
      <c r="B8">
        <v>532353</v>
      </c>
      <c r="C8">
        <v>455</v>
      </c>
    </row>
    <row r="9" spans="1:3" x14ac:dyDescent="0.3">
      <c r="A9" s="30" t="s">
        <v>215</v>
      </c>
      <c r="B9">
        <v>4861</v>
      </c>
      <c r="C9">
        <v>52074</v>
      </c>
    </row>
    <row r="10" spans="1:3" x14ac:dyDescent="0.3">
      <c r="A10" s="31" t="s">
        <v>9</v>
      </c>
      <c r="B10">
        <v>646</v>
      </c>
      <c r="C10">
        <v>8864</v>
      </c>
    </row>
    <row r="11" spans="1:3" x14ac:dyDescent="0.3">
      <c r="A11" s="31" t="s">
        <v>5</v>
      </c>
      <c r="B11">
        <v>3523</v>
      </c>
      <c r="C11">
        <v>5566</v>
      </c>
    </row>
    <row r="12" spans="1:3" x14ac:dyDescent="0.3">
      <c r="A12" s="31" t="s">
        <v>71</v>
      </c>
      <c r="B12">
        <v>646</v>
      </c>
      <c r="C12">
        <v>37578</v>
      </c>
    </row>
    <row r="13" spans="1:3" x14ac:dyDescent="0.3">
      <c r="A13" s="31" t="s">
        <v>7</v>
      </c>
      <c r="B13">
        <v>46</v>
      </c>
      <c r="C13">
        <v>66</v>
      </c>
    </row>
    <row r="14" spans="1:3" x14ac:dyDescent="0.3">
      <c r="A14" s="30" t="s">
        <v>216</v>
      </c>
      <c r="B14">
        <v>5251</v>
      </c>
      <c r="C14">
        <v>6456</v>
      </c>
    </row>
    <row r="15" spans="1:3" x14ac:dyDescent="0.3">
      <c r="A15" s="31" t="s">
        <v>9</v>
      </c>
      <c r="B15">
        <v>446</v>
      </c>
      <c r="C15">
        <v>5578</v>
      </c>
    </row>
    <row r="16" spans="1:3" x14ac:dyDescent="0.3">
      <c r="A16" s="31" t="s">
        <v>5</v>
      </c>
      <c r="B16">
        <v>3455</v>
      </c>
      <c r="C16">
        <v>255</v>
      </c>
    </row>
    <row r="17" spans="1:3" x14ac:dyDescent="0.3">
      <c r="A17" s="31" t="s">
        <v>71</v>
      </c>
      <c r="B17">
        <v>664</v>
      </c>
      <c r="C17">
        <v>478</v>
      </c>
    </row>
    <row r="18" spans="1:3" x14ac:dyDescent="0.3">
      <c r="A18" s="31" t="s">
        <v>7</v>
      </c>
      <c r="B18">
        <v>686</v>
      </c>
      <c r="C18">
        <v>145</v>
      </c>
    </row>
    <row r="19" spans="1:3" x14ac:dyDescent="0.3">
      <c r="A19" s="30" t="s">
        <v>221</v>
      </c>
      <c r="B19">
        <v>5407</v>
      </c>
      <c r="C19">
        <v>5920</v>
      </c>
    </row>
    <row r="20" spans="1:3" x14ac:dyDescent="0.3">
      <c r="A20" s="31" t="s">
        <v>9</v>
      </c>
      <c r="B20">
        <v>4334</v>
      </c>
      <c r="C20">
        <v>2178</v>
      </c>
    </row>
    <row r="21" spans="1:3" x14ac:dyDescent="0.3">
      <c r="A21" s="31" t="s">
        <v>5</v>
      </c>
      <c r="B21">
        <v>55</v>
      </c>
      <c r="C21">
        <v>3632</v>
      </c>
    </row>
    <row r="22" spans="1:3" x14ac:dyDescent="0.3">
      <c r="A22" s="31" t="s">
        <v>71</v>
      </c>
      <c r="B22">
        <v>464</v>
      </c>
      <c r="C22">
        <v>78</v>
      </c>
    </row>
    <row r="23" spans="1:3" x14ac:dyDescent="0.3">
      <c r="A23" s="31" t="s">
        <v>7</v>
      </c>
      <c r="B23">
        <v>554</v>
      </c>
      <c r="C23">
        <v>32</v>
      </c>
    </row>
    <row r="24" spans="1:3" x14ac:dyDescent="0.3">
      <c r="A24" s="30" t="s">
        <v>218</v>
      </c>
      <c r="B24">
        <v>573759</v>
      </c>
      <c r="C24">
        <v>68153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0C404-DC54-4E5A-9F5F-2C022D2D1E60}">
  <dimension ref="A1:O17"/>
  <sheetViews>
    <sheetView workbookViewId="0">
      <selection sqref="A1:D17"/>
    </sheetView>
  </sheetViews>
  <sheetFormatPr defaultRowHeight="14.4" x14ac:dyDescent="0.3"/>
  <cols>
    <col min="1" max="1" width="15.109375" customWidth="1"/>
    <col min="2" max="2" width="9.5546875" customWidth="1"/>
    <col min="3" max="3" width="9.77734375" customWidth="1"/>
    <col min="4" max="4" width="13.5546875" customWidth="1"/>
    <col min="7" max="7" width="12.44140625" bestFit="1" customWidth="1"/>
    <col min="8" max="8" width="17.88671875" bestFit="1" customWidth="1"/>
    <col min="9" max="9" width="14" bestFit="1" customWidth="1"/>
    <col min="10" max="10" width="17.88671875" bestFit="1" customWidth="1"/>
    <col min="11" max="11" width="14" bestFit="1" customWidth="1"/>
    <col min="12" max="12" width="17.88671875" bestFit="1" customWidth="1"/>
    <col min="13" max="13" width="14" bestFit="1" customWidth="1"/>
    <col min="14" max="14" width="17.88671875" bestFit="1" customWidth="1"/>
    <col min="15" max="15" width="14" bestFit="1" customWidth="1"/>
    <col min="16" max="16" width="22.44140625" bestFit="1" customWidth="1"/>
    <col min="17" max="17" width="18.5546875" bestFit="1" customWidth="1"/>
  </cols>
  <sheetData>
    <row r="1" spans="1:15" x14ac:dyDescent="0.3">
      <c r="A1" s="7" t="s">
        <v>211</v>
      </c>
      <c r="B1" s="7" t="s">
        <v>212</v>
      </c>
      <c r="C1" s="7" t="s">
        <v>220</v>
      </c>
      <c r="D1" s="7" t="s">
        <v>213</v>
      </c>
      <c r="F1" s="29" t="s">
        <v>222</v>
      </c>
    </row>
    <row r="2" spans="1:15" x14ac:dyDescent="0.3">
      <c r="A2" s="5" t="s">
        <v>5</v>
      </c>
      <c r="B2" s="5" t="s">
        <v>214</v>
      </c>
      <c r="C2" s="5">
        <v>24324</v>
      </c>
      <c r="D2" s="5">
        <v>535</v>
      </c>
      <c r="F2" t="s">
        <v>214</v>
      </c>
      <c r="H2" t="s">
        <v>215</v>
      </c>
      <c r="J2" t="s">
        <v>216</v>
      </c>
      <c r="L2" t="s">
        <v>221</v>
      </c>
      <c r="N2" t="s">
        <v>223</v>
      </c>
      <c r="O2" t="s">
        <v>224</v>
      </c>
    </row>
    <row r="3" spans="1:15" x14ac:dyDescent="0.3">
      <c r="A3" s="5" t="s">
        <v>5</v>
      </c>
      <c r="B3" s="5" t="s">
        <v>221</v>
      </c>
      <c r="C3" s="5">
        <v>55</v>
      </c>
      <c r="D3" s="5">
        <v>3632</v>
      </c>
      <c r="E3" s="29" t="s">
        <v>217</v>
      </c>
      <c r="F3" t="s">
        <v>219</v>
      </c>
      <c r="G3" t="s">
        <v>225</v>
      </c>
      <c r="H3" t="s">
        <v>219</v>
      </c>
      <c r="I3" t="s">
        <v>225</v>
      </c>
      <c r="J3" t="s">
        <v>219</v>
      </c>
      <c r="K3" t="s">
        <v>225</v>
      </c>
      <c r="L3" t="s">
        <v>219</v>
      </c>
      <c r="M3" t="s">
        <v>225</v>
      </c>
    </row>
    <row r="4" spans="1:15" x14ac:dyDescent="0.3">
      <c r="A4" s="5" t="s">
        <v>5</v>
      </c>
      <c r="B4" s="5" t="s">
        <v>216</v>
      </c>
      <c r="C4" s="5">
        <v>3455</v>
      </c>
      <c r="D4" s="5">
        <v>255</v>
      </c>
      <c r="E4" s="30" t="s">
        <v>9</v>
      </c>
      <c r="F4">
        <v>2256</v>
      </c>
      <c r="G4">
        <v>997</v>
      </c>
      <c r="H4">
        <v>8864</v>
      </c>
      <c r="I4">
        <v>646</v>
      </c>
      <c r="J4">
        <v>5578</v>
      </c>
      <c r="K4">
        <v>446</v>
      </c>
      <c r="L4">
        <v>2178</v>
      </c>
      <c r="M4">
        <v>4334</v>
      </c>
      <c r="N4">
        <v>18876</v>
      </c>
      <c r="O4">
        <v>6423</v>
      </c>
    </row>
    <row r="5" spans="1:15" x14ac:dyDescent="0.3">
      <c r="A5" s="5" t="s">
        <v>5</v>
      </c>
      <c r="B5" s="5" t="s">
        <v>215</v>
      </c>
      <c r="C5" s="5">
        <v>3523</v>
      </c>
      <c r="D5" s="5">
        <v>5566</v>
      </c>
      <c r="E5" s="30" t="s">
        <v>5</v>
      </c>
      <c r="F5">
        <v>535</v>
      </c>
      <c r="G5">
        <v>24324</v>
      </c>
      <c r="H5">
        <v>5566</v>
      </c>
      <c r="I5">
        <v>3523</v>
      </c>
      <c r="J5">
        <v>255</v>
      </c>
      <c r="K5">
        <v>3455</v>
      </c>
      <c r="L5">
        <v>3632</v>
      </c>
      <c r="M5">
        <v>55</v>
      </c>
      <c r="N5">
        <v>9988</v>
      </c>
      <c r="O5">
        <v>31357</v>
      </c>
    </row>
    <row r="6" spans="1:15" x14ac:dyDescent="0.3">
      <c r="A6" s="5" t="s">
        <v>7</v>
      </c>
      <c r="B6" s="5" t="s">
        <v>214</v>
      </c>
      <c r="C6" s="5">
        <v>532353</v>
      </c>
      <c r="D6" s="5">
        <v>455</v>
      </c>
      <c r="E6" s="30" t="s">
        <v>71</v>
      </c>
      <c r="F6">
        <v>457</v>
      </c>
      <c r="G6">
        <v>566</v>
      </c>
      <c r="H6">
        <v>37578</v>
      </c>
      <c r="I6">
        <v>646</v>
      </c>
      <c r="J6">
        <v>478</v>
      </c>
      <c r="K6">
        <v>664</v>
      </c>
      <c r="L6">
        <v>78</v>
      </c>
      <c r="M6">
        <v>464</v>
      </c>
      <c r="N6">
        <v>38591</v>
      </c>
      <c r="O6">
        <v>2340</v>
      </c>
    </row>
    <row r="7" spans="1:15" x14ac:dyDescent="0.3">
      <c r="A7" s="5" t="s">
        <v>7</v>
      </c>
      <c r="B7" s="5" t="s">
        <v>221</v>
      </c>
      <c r="C7" s="32">
        <v>554</v>
      </c>
      <c r="D7" s="5">
        <v>32</v>
      </c>
      <c r="E7" s="30" t="s">
        <v>7</v>
      </c>
      <c r="F7">
        <v>455</v>
      </c>
      <c r="G7">
        <v>532353</v>
      </c>
      <c r="H7">
        <v>66</v>
      </c>
      <c r="I7">
        <v>46</v>
      </c>
      <c r="J7">
        <v>145</v>
      </c>
      <c r="K7">
        <v>686</v>
      </c>
      <c r="L7">
        <v>32</v>
      </c>
      <c r="M7">
        <v>554</v>
      </c>
      <c r="N7">
        <v>698</v>
      </c>
      <c r="O7">
        <v>533639</v>
      </c>
    </row>
    <row r="8" spans="1:15" x14ac:dyDescent="0.3">
      <c r="A8" s="5" t="s">
        <v>7</v>
      </c>
      <c r="B8" s="5" t="s">
        <v>216</v>
      </c>
      <c r="C8" s="5">
        <v>686</v>
      </c>
      <c r="D8" s="5">
        <v>145</v>
      </c>
      <c r="E8" s="30" t="s">
        <v>218</v>
      </c>
      <c r="F8">
        <v>3703</v>
      </c>
      <c r="G8">
        <v>558240</v>
      </c>
      <c r="H8">
        <v>52074</v>
      </c>
      <c r="I8">
        <v>4861</v>
      </c>
      <c r="J8">
        <v>6456</v>
      </c>
      <c r="K8">
        <v>5251</v>
      </c>
      <c r="L8">
        <v>5920</v>
      </c>
      <c r="M8">
        <v>5407</v>
      </c>
      <c r="N8">
        <v>68153</v>
      </c>
      <c r="O8">
        <v>573759</v>
      </c>
    </row>
    <row r="9" spans="1:15" x14ac:dyDescent="0.3">
      <c r="A9" s="5" t="s">
        <v>7</v>
      </c>
      <c r="B9" s="5" t="s">
        <v>215</v>
      </c>
      <c r="C9" s="5">
        <v>46</v>
      </c>
      <c r="D9" s="5">
        <v>66</v>
      </c>
    </row>
    <row r="10" spans="1:15" x14ac:dyDescent="0.3">
      <c r="A10" s="5" t="s">
        <v>9</v>
      </c>
      <c r="B10" s="5" t="s">
        <v>214</v>
      </c>
      <c r="C10" s="5">
        <v>997</v>
      </c>
      <c r="D10" s="5">
        <v>2256</v>
      </c>
    </row>
    <row r="11" spans="1:15" x14ac:dyDescent="0.3">
      <c r="A11" s="5" t="s">
        <v>9</v>
      </c>
      <c r="B11" s="5" t="s">
        <v>221</v>
      </c>
      <c r="C11" s="5">
        <v>4334</v>
      </c>
      <c r="D11" s="5">
        <v>2178</v>
      </c>
    </row>
    <row r="12" spans="1:15" x14ac:dyDescent="0.3">
      <c r="A12" s="5" t="s">
        <v>9</v>
      </c>
      <c r="B12" s="5" t="s">
        <v>215</v>
      </c>
      <c r="C12" s="5">
        <v>646</v>
      </c>
      <c r="D12" s="5">
        <v>8864</v>
      </c>
    </row>
    <row r="13" spans="1:15" x14ac:dyDescent="0.3">
      <c r="A13" s="5" t="s">
        <v>9</v>
      </c>
      <c r="B13" s="5" t="s">
        <v>216</v>
      </c>
      <c r="C13" s="5">
        <v>446</v>
      </c>
      <c r="D13" s="5">
        <v>5578</v>
      </c>
    </row>
    <row r="14" spans="1:15" x14ac:dyDescent="0.3">
      <c r="A14" s="5" t="s">
        <v>71</v>
      </c>
      <c r="B14" s="5" t="s">
        <v>214</v>
      </c>
      <c r="C14" s="5">
        <v>566</v>
      </c>
      <c r="D14" s="5">
        <v>457</v>
      </c>
    </row>
    <row r="15" spans="1:15" x14ac:dyDescent="0.3">
      <c r="A15" s="5" t="s">
        <v>71</v>
      </c>
      <c r="B15" s="5" t="s">
        <v>221</v>
      </c>
      <c r="C15" s="5">
        <v>464</v>
      </c>
      <c r="D15" s="5">
        <v>78</v>
      </c>
    </row>
    <row r="16" spans="1:15" x14ac:dyDescent="0.3">
      <c r="A16" s="5" t="s">
        <v>71</v>
      </c>
      <c r="B16" s="5" t="s">
        <v>216</v>
      </c>
      <c r="C16" s="5">
        <v>664</v>
      </c>
      <c r="D16" s="5">
        <v>478</v>
      </c>
    </row>
    <row r="17" spans="1:4" x14ac:dyDescent="0.3">
      <c r="A17" s="5" t="s">
        <v>71</v>
      </c>
      <c r="B17" s="5" t="s">
        <v>215</v>
      </c>
      <c r="C17" s="5">
        <v>646</v>
      </c>
      <c r="D17" s="5">
        <v>37578</v>
      </c>
    </row>
  </sheetData>
  <pageMargins left="0.7" right="0.7" top="0.75" bottom="0.75" header="0.3" footer="0.3"/>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7344E-46F1-48E6-8A99-22B2C446A3FC}">
  <dimension ref="A1:F16"/>
  <sheetViews>
    <sheetView workbookViewId="0">
      <selection activeCell="I19" sqref="I19"/>
    </sheetView>
  </sheetViews>
  <sheetFormatPr defaultRowHeight="14.4" x14ac:dyDescent="0.3"/>
  <cols>
    <col min="1" max="3" width="10.33203125" customWidth="1"/>
    <col min="4" max="4" width="11.6640625" bestFit="1" customWidth="1"/>
    <col min="5" max="5" width="10.33203125" customWidth="1"/>
    <col min="6" max="6" width="12" bestFit="1" customWidth="1"/>
    <col min="7" max="8" width="10.33203125" customWidth="1"/>
    <col min="9" max="9" width="13.77734375" bestFit="1" customWidth="1"/>
    <col min="10" max="10" width="11.33203125" customWidth="1"/>
  </cols>
  <sheetData>
    <row r="1" spans="1:6" x14ac:dyDescent="0.3">
      <c r="A1" s="33" t="s">
        <v>273</v>
      </c>
      <c r="B1" s="33" t="s">
        <v>274</v>
      </c>
      <c r="C1" s="33" t="s">
        <v>275</v>
      </c>
      <c r="D1" s="33" t="s">
        <v>276</v>
      </c>
      <c r="E1" s="33" t="s">
        <v>278</v>
      </c>
      <c r="F1" s="33" t="s">
        <v>282</v>
      </c>
    </row>
    <row r="2" spans="1:6" x14ac:dyDescent="0.3">
      <c r="A2" s="33" t="s">
        <v>226</v>
      </c>
      <c r="B2" s="33" t="s">
        <v>227</v>
      </c>
      <c r="C2" s="33" t="s">
        <v>228</v>
      </c>
      <c r="D2" s="33" t="s">
        <v>213</v>
      </c>
      <c r="E2" s="33" t="s">
        <v>229</v>
      </c>
      <c r="F2" s="33" t="s">
        <v>308</v>
      </c>
    </row>
    <row r="3" spans="1:6" x14ac:dyDescent="0.3">
      <c r="A3" s="5">
        <v>698</v>
      </c>
      <c r="B3" s="5">
        <v>2536</v>
      </c>
      <c r="C3" s="5">
        <v>6633</v>
      </c>
      <c r="D3" s="5">
        <f t="shared" ref="D3:D15" si="0">SUM(A3:C4)</f>
        <v>14019</v>
      </c>
      <c r="E3" t="e" cm="1" vm="1">
        <f t="array" aca="1" ref="E3" ca="1">SMALL($A$3:$C$16,{1,2,3,4,6})</f>
        <v>#VALUE!</v>
      </c>
      <c r="F3" s="5">
        <v>9224</v>
      </c>
    </row>
    <row r="4" spans="1:6" x14ac:dyDescent="0.3">
      <c r="A4" s="5">
        <v>43</v>
      </c>
      <c r="B4" s="5">
        <v>643</v>
      </c>
      <c r="C4" s="5">
        <v>3466</v>
      </c>
      <c r="D4" s="5">
        <f t="shared" si="0"/>
        <v>15240</v>
      </c>
      <c r="F4" s="5">
        <v>4807</v>
      </c>
    </row>
    <row r="5" spans="1:6" x14ac:dyDescent="0.3">
      <c r="A5" s="5">
        <v>4589</v>
      </c>
      <c r="B5" s="5">
        <v>6435</v>
      </c>
      <c r="C5" s="5">
        <v>64</v>
      </c>
      <c r="D5" s="5">
        <f t="shared" si="0"/>
        <v>25056</v>
      </c>
      <c r="F5" s="5">
        <v>-829</v>
      </c>
    </row>
    <row r="6" spans="1:6" x14ac:dyDescent="0.3">
      <c r="A6" s="5">
        <v>6689</v>
      </c>
      <c r="B6" s="5">
        <v>6643</v>
      </c>
      <c r="C6" s="5">
        <v>636</v>
      </c>
      <c r="D6" s="5">
        <f t="shared" si="0"/>
        <v>89920</v>
      </c>
      <c r="F6" s="5">
        <v>-1397</v>
      </c>
    </row>
    <row r="7" spans="1:6" x14ac:dyDescent="0.3">
      <c r="A7" s="5">
        <v>7754</v>
      </c>
      <c r="B7" s="5">
        <v>63632</v>
      </c>
      <c r="C7" s="5">
        <v>4566</v>
      </c>
      <c r="D7" s="5">
        <f t="shared" si="0"/>
        <v>77736</v>
      </c>
      <c r="F7" s="5">
        <v>22129.333333333401</v>
      </c>
    </row>
    <row r="8" spans="1:6" x14ac:dyDescent="0.3">
      <c r="A8" s="5">
        <v>754</v>
      </c>
      <c r="B8" s="5">
        <v>777</v>
      </c>
      <c r="C8" s="5">
        <v>253</v>
      </c>
      <c r="D8" s="5">
        <f t="shared" si="0"/>
        <v>3240</v>
      </c>
      <c r="E8" s="34" t="s">
        <v>230</v>
      </c>
      <c r="F8" s="5">
        <v>93.666666666666501</v>
      </c>
    </row>
    <row r="9" spans="1:6" x14ac:dyDescent="0.3">
      <c r="A9" s="5">
        <v>754</v>
      </c>
      <c r="B9" s="5">
        <v>46</v>
      </c>
      <c r="C9" s="5">
        <v>656</v>
      </c>
      <c r="D9" s="5">
        <f t="shared" si="0"/>
        <v>16037</v>
      </c>
      <c r="E9" t="e" cm="1" vm="2">
        <f t="array" aca="1" ref="E9" ca="1">LARGE($D$3:$D$16,{1,14})</f>
        <v>#VALUE!</v>
      </c>
      <c r="F9" s="5">
        <v>387.33333333333297</v>
      </c>
    </row>
    <row r="10" spans="1:6" x14ac:dyDescent="0.3">
      <c r="A10" s="5">
        <v>6590</v>
      </c>
      <c r="B10" s="5">
        <v>3325</v>
      </c>
      <c r="C10" s="5">
        <v>4666</v>
      </c>
      <c r="D10" s="5">
        <f t="shared" si="0"/>
        <v>26758</v>
      </c>
      <c r="F10" s="5">
        <v>2936.3333333333298</v>
      </c>
    </row>
    <row r="11" spans="1:6" x14ac:dyDescent="0.3">
      <c r="A11" s="5">
        <v>867</v>
      </c>
      <c r="B11" s="5">
        <v>4667</v>
      </c>
      <c r="C11" s="5">
        <v>6643</v>
      </c>
      <c r="D11" s="5">
        <f t="shared" si="0"/>
        <v>103824</v>
      </c>
      <c r="F11" s="5">
        <v>9835</v>
      </c>
    </row>
    <row r="12" spans="1:6" x14ac:dyDescent="0.3">
      <c r="A12" s="5">
        <v>7558</v>
      </c>
      <c r="B12" s="5">
        <v>78754</v>
      </c>
      <c r="C12" s="5">
        <v>5335</v>
      </c>
      <c r="D12" s="5">
        <f t="shared" si="0"/>
        <v>136183</v>
      </c>
      <c r="F12" s="5">
        <v>28326</v>
      </c>
    </row>
    <row r="13" spans="1:6" x14ac:dyDescent="0.3">
      <c r="A13" s="5">
        <v>5868</v>
      </c>
      <c r="B13" s="5">
        <v>33235</v>
      </c>
      <c r="C13" s="5">
        <v>5433</v>
      </c>
      <c r="D13" s="5">
        <f t="shared" si="0"/>
        <v>57876</v>
      </c>
      <c r="F13" s="5">
        <v>14410.333333333299</v>
      </c>
    </row>
    <row r="14" spans="1:6" x14ac:dyDescent="0.3">
      <c r="A14" s="5">
        <v>9</v>
      </c>
      <c r="B14" s="5">
        <v>3352</v>
      </c>
      <c r="C14" s="5">
        <v>9979</v>
      </c>
      <c r="D14" s="5">
        <f t="shared" si="0"/>
        <v>674830</v>
      </c>
      <c r="F14" s="5">
        <v>14416.666666666701</v>
      </c>
    </row>
    <row r="15" spans="1:6" x14ac:dyDescent="0.3">
      <c r="A15" s="5">
        <v>6689</v>
      </c>
      <c r="B15" s="5">
        <v>654235</v>
      </c>
      <c r="C15" s="5">
        <v>566</v>
      </c>
      <c r="D15" s="5">
        <f t="shared" si="0"/>
        <v>722477</v>
      </c>
      <c r="F15" s="5">
        <v>214373.66666666701</v>
      </c>
    </row>
    <row r="16" spans="1:6" x14ac:dyDescent="0.3">
      <c r="A16" s="5">
        <v>987</v>
      </c>
      <c r="B16" s="5">
        <v>54346</v>
      </c>
      <c r="C16" s="5">
        <v>5654</v>
      </c>
      <c r="D16" s="5">
        <f>SUM(A16:C16)</f>
        <v>60987</v>
      </c>
      <c r="F16" s="5">
        <v>24996</v>
      </c>
    </row>
  </sheetData>
  <phoneticPr fontId="2" type="noConversion"/>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0ECAD-EE36-4011-92B7-E9C6591FBB1C}">
  <dimension ref="A1:AI14"/>
  <sheetViews>
    <sheetView workbookViewId="0">
      <selection activeCell="D8" sqref="D8"/>
    </sheetView>
  </sheetViews>
  <sheetFormatPr defaultRowHeight="14.4" x14ac:dyDescent="0.3"/>
  <cols>
    <col min="1" max="2" width="10.33203125" customWidth="1"/>
    <col min="3" max="3" width="11.44140625" bestFit="1" customWidth="1"/>
    <col min="4" max="9" width="10.33203125" customWidth="1"/>
    <col min="10" max="35" width="11.33203125" customWidth="1"/>
  </cols>
  <sheetData>
    <row r="1" spans="1:35" x14ac:dyDescent="0.3">
      <c r="A1" t="s">
        <v>273</v>
      </c>
      <c r="B1" t="s">
        <v>274</v>
      </c>
      <c r="C1" t="s">
        <v>275</v>
      </c>
      <c r="D1" t="s">
        <v>276</v>
      </c>
      <c r="E1" t="s">
        <v>277</v>
      </c>
      <c r="F1" t="s">
        <v>278</v>
      </c>
      <c r="G1" t="s">
        <v>279</v>
      </c>
      <c r="H1" t="s">
        <v>280</v>
      </c>
      <c r="I1" t="s">
        <v>281</v>
      </c>
      <c r="J1" t="s">
        <v>282</v>
      </c>
      <c r="K1" t="s">
        <v>283</v>
      </c>
      <c r="L1" t="s">
        <v>284</v>
      </c>
      <c r="M1" t="s">
        <v>285</v>
      </c>
      <c r="N1" t="s">
        <v>286</v>
      </c>
      <c r="O1" t="s">
        <v>287</v>
      </c>
      <c r="P1" t="s">
        <v>288</v>
      </c>
      <c r="Q1" t="s">
        <v>289</v>
      </c>
      <c r="R1" t="s">
        <v>290</v>
      </c>
      <c r="S1" t="s">
        <v>291</v>
      </c>
      <c r="T1" t="s">
        <v>292</v>
      </c>
      <c r="U1" t="s">
        <v>293</v>
      </c>
      <c r="V1" t="s">
        <v>294</v>
      </c>
      <c r="W1" t="s">
        <v>295</v>
      </c>
      <c r="X1" t="s">
        <v>296</v>
      </c>
      <c r="Y1" t="s">
        <v>297</v>
      </c>
      <c r="Z1" t="s">
        <v>298</v>
      </c>
      <c r="AA1" t="s">
        <v>299</v>
      </c>
      <c r="AB1" t="s">
        <v>300</v>
      </c>
      <c r="AC1" t="s">
        <v>301</v>
      </c>
      <c r="AD1" t="s">
        <v>302</v>
      </c>
      <c r="AE1" t="s">
        <v>303</v>
      </c>
      <c r="AF1" t="s">
        <v>304</v>
      </c>
      <c r="AG1" t="s">
        <v>305</v>
      </c>
      <c r="AH1" t="s">
        <v>306</v>
      </c>
      <c r="AI1" t="s">
        <v>307</v>
      </c>
    </row>
    <row r="3" spans="1:35" x14ac:dyDescent="0.3">
      <c r="B3">
        <v>31</v>
      </c>
      <c r="C3">
        <v>55</v>
      </c>
      <c r="D3">
        <v>67</v>
      </c>
      <c r="E3">
        <v>78</v>
      </c>
      <c r="F3">
        <v>99</v>
      </c>
      <c r="G3">
        <v>9</v>
      </c>
      <c r="H3">
        <v>54</v>
      </c>
      <c r="I3">
        <v>223</v>
      </c>
      <c r="J3">
        <v>34</v>
      </c>
      <c r="K3">
        <f>COUNT($B$3:$J$3)</f>
        <v>9</v>
      </c>
    </row>
    <row r="5" spans="1:35" x14ac:dyDescent="0.3">
      <c r="B5">
        <v>44</v>
      </c>
      <c r="C5">
        <v>24</v>
      </c>
      <c r="D5">
        <v>11</v>
      </c>
      <c r="E5">
        <v>12</v>
      </c>
      <c r="F5">
        <v>12</v>
      </c>
      <c r="G5">
        <v>22</v>
      </c>
      <c r="H5">
        <v>53</v>
      </c>
      <c r="I5">
        <v>53</v>
      </c>
      <c r="J5">
        <v>53</v>
      </c>
      <c r="K5">
        <f>COUNTIF($B$5:$J$5,"53")</f>
        <v>3</v>
      </c>
    </row>
    <row r="8" spans="1:35" ht="55.8" x14ac:dyDescent="0.3">
      <c r="A8" s="35" t="s">
        <v>231</v>
      </c>
      <c r="B8" s="35" t="s">
        <v>232</v>
      </c>
      <c r="C8" s="35" t="s">
        <v>233</v>
      </c>
      <c r="D8" s="36">
        <v>45992</v>
      </c>
      <c r="E8" s="37">
        <v>45993</v>
      </c>
      <c r="F8" s="36">
        <v>45994</v>
      </c>
      <c r="G8" s="36">
        <v>45995</v>
      </c>
      <c r="H8" s="36">
        <v>45996</v>
      </c>
      <c r="I8" s="36">
        <v>45997</v>
      </c>
      <c r="J8" s="36">
        <v>45998</v>
      </c>
      <c r="K8" s="37">
        <v>45999</v>
      </c>
      <c r="L8" s="36">
        <v>46000</v>
      </c>
      <c r="M8" s="36">
        <v>46001</v>
      </c>
      <c r="N8" s="36">
        <v>46002</v>
      </c>
      <c r="O8" s="36">
        <v>46003</v>
      </c>
      <c r="P8" s="36">
        <v>46004</v>
      </c>
      <c r="Q8" s="36">
        <v>46005</v>
      </c>
      <c r="R8" s="37">
        <v>46006</v>
      </c>
      <c r="S8" s="36">
        <v>46007</v>
      </c>
      <c r="T8" s="36">
        <v>46008</v>
      </c>
      <c r="U8" s="36">
        <v>46009</v>
      </c>
      <c r="V8" s="36">
        <v>46010</v>
      </c>
      <c r="W8" s="36">
        <v>46011</v>
      </c>
      <c r="X8" s="36">
        <v>46012</v>
      </c>
      <c r="Y8" s="37">
        <v>46013</v>
      </c>
      <c r="Z8" s="36">
        <v>46014</v>
      </c>
      <c r="AA8" s="36">
        <v>46015</v>
      </c>
      <c r="AB8" s="36">
        <v>46016</v>
      </c>
      <c r="AC8" s="36">
        <v>46017</v>
      </c>
      <c r="AD8" s="36">
        <v>46018</v>
      </c>
      <c r="AE8" s="36">
        <v>46019</v>
      </c>
      <c r="AF8" s="37">
        <v>46020</v>
      </c>
      <c r="AG8" s="36">
        <v>46021</v>
      </c>
      <c r="AH8" s="35" t="s">
        <v>246</v>
      </c>
      <c r="AI8" s="35" t="s">
        <v>247</v>
      </c>
    </row>
    <row r="9" spans="1:35" x14ac:dyDescent="0.3">
      <c r="A9" t="s">
        <v>234</v>
      </c>
      <c r="B9" t="s">
        <v>5</v>
      </c>
      <c r="C9" t="s">
        <v>240</v>
      </c>
      <c r="D9" s="5" t="s">
        <v>243</v>
      </c>
      <c r="E9" s="38" t="s">
        <v>245</v>
      </c>
      <c r="F9" s="5" t="s">
        <v>243</v>
      </c>
      <c r="G9" s="5" t="s">
        <v>244</v>
      </c>
      <c r="H9" s="5" t="s">
        <v>243</v>
      </c>
      <c r="I9" s="5" t="s">
        <v>244</v>
      </c>
      <c r="J9" s="5" t="s">
        <v>243</v>
      </c>
      <c r="K9" s="38" t="s">
        <v>245</v>
      </c>
      <c r="L9" s="5" t="s">
        <v>244</v>
      </c>
      <c r="M9" s="5" t="s">
        <v>243</v>
      </c>
      <c r="N9" s="5" t="s">
        <v>243</v>
      </c>
      <c r="O9" s="5" t="s">
        <v>244</v>
      </c>
      <c r="P9" s="5" t="s">
        <v>244</v>
      </c>
      <c r="Q9" s="5" t="s">
        <v>243</v>
      </c>
      <c r="R9" s="38" t="s">
        <v>245</v>
      </c>
      <c r="S9" s="5" t="s">
        <v>244</v>
      </c>
      <c r="T9" s="5" t="s">
        <v>244</v>
      </c>
      <c r="U9" s="5" t="s">
        <v>244</v>
      </c>
      <c r="V9" s="5" t="s">
        <v>244</v>
      </c>
      <c r="W9" s="5" t="s">
        <v>244</v>
      </c>
      <c r="X9" s="5" t="s">
        <v>243</v>
      </c>
      <c r="Y9" s="38" t="s">
        <v>245</v>
      </c>
      <c r="Z9" s="5" t="s">
        <v>244</v>
      </c>
      <c r="AA9" s="5" t="s">
        <v>244</v>
      </c>
      <c r="AB9" s="5" t="s">
        <v>244</v>
      </c>
      <c r="AC9" s="5" t="s">
        <v>244</v>
      </c>
      <c r="AD9" s="5" t="s">
        <v>244</v>
      </c>
      <c r="AE9" s="5" t="s">
        <v>243</v>
      </c>
      <c r="AF9" s="38" t="s">
        <v>245</v>
      </c>
      <c r="AG9" s="5" t="s">
        <v>244</v>
      </c>
      <c r="AH9" s="5">
        <f>COUNTIF(D9:AG9,"p")</f>
        <v>16</v>
      </c>
      <c r="AI9" s="5">
        <f>COUNTIF(D9:AG9,"A")</f>
        <v>9</v>
      </c>
    </row>
    <row r="10" spans="1:35" x14ac:dyDescent="0.3">
      <c r="A10" t="s">
        <v>235</v>
      </c>
      <c r="B10" t="s">
        <v>9</v>
      </c>
      <c r="C10" t="s">
        <v>241</v>
      </c>
      <c r="D10" s="5" t="s">
        <v>244</v>
      </c>
      <c r="E10" s="38" t="s">
        <v>245</v>
      </c>
      <c r="F10" s="5" t="s">
        <v>244</v>
      </c>
      <c r="G10" s="5" t="s">
        <v>244</v>
      </c>
      <c r="H10" s="5" t="s">
        <v>244</v>
      </c>
      <c r="I10" s="5" t="s">
        <v>244</v>
      </c>
      <c r="J10" s="5" t="s">
        <v>244</v>
      </c>
      <c r="K10" s="38" t="s">
        <v>245</v>
      </c>
      <c r="L10" s="5" t="s">
        <v>244</v>
      </c>
      <c r="M10" s="5" t="s">
        <v>244</v>
      </c>
      <c r="N10" s="5" t="s">
        <v>243</v>
      </c>
      <c r="O10" s="5" t="s">
        <v>244</v>
      </c>
      <c r="P10" s="5" t="s">
        <v>243</v>
      </c>
      <c r="Q10" s="5" t="s">
        <v>244</v>
      </c>
      <c r="R10" s="38" t="s">
        <v>245</v>
      </c>
      <c r="S10" s="5" t="s">
        <v>243</v>
      </c>
      <c r="T10" s="5" t="s">
        <v>243</v>
      </c>
      <c r="U10" s="5" t="s">
        <v>244</v>
      </c>
      <c r="V10" s="5" t="s">
        <v>243</v>
      </c>
      <c r="W10" s="5" t="s">
        <v>243</v>
      </c>
      <c r="X10" s="5" t="s">
        <v>244</v>
      </c>
      <c r="Y10" s="38" t="s">
        <v>245</v>
      </c>
      <c r="Z10" s="5" t="s">
        <v>243</v>
      </c>
      <c r="AA10" s="5" t="s">
        <v>244</v>
      </c>
      <c r="AB10" s="5" t="s">
        <v>244</v>
      </c>
      <c r="AC10" s="5" t="s">
        <v>244</v>
      </c>
      <c r="AD10" s="5" t="s">
        <v>244</v>
      </c>
      <c r="AE10" s="5" t="s">
        <v>244</v>
      </c>
      <c r="AF10" s="38" t="s">
        <v>245</v>
      </c>
      <c r="AG10" s="5" t="s">
        <v>244</v>
      </c>
      <c r="AH10" s="5">
        <f t="shared" ref="AH10:AH14" si="0">COUNTIF(D10:AG10,"p")</f>
        <v>18</v>
      </c>
      <c r="AI10" s="5">
        <f t="shared" ref="AI10:AI14" si="1">COUNTIF(D10:AG10,"A")</f>
        <v>7</v>
      </c>
    </row>
    <row r="11" spans="1:35" x14ac:dyDescent="0.3">
      <c r="A11" t="s">
        <v>236</v>
      </c>
      <c r="B11" t="s">
        <v>7</v>
      </c>
      <c r="C11" t="s">
        <v>242</v>
      </c>
      <c r="D11" s="5" t="s">
        <v>244</v>
      </c>
      <c r="E11" s="38" t="s">
        <v>245</v>
      </c>
      <c r="F11" s="5" t="s">
        <v>243</v>
      </c>
      <c r="G11" s="5" t="s">
        <v>244</v>
      </c>
      <c r="H11" s="5" t="s">
        <v>244</v>
      </c>
      <c r="I11" s="5" t="s">
        <v>243</v>
      </c>
      <c r="J11" s="5" t="s">
        <v>244</v>
      </c>
      <c r="K11" s="38" t="s">
        <v>245</v>
      </c>
      <c r="L11" s="5" t="s">
        <v>244</v>
      </c>
      <c r="M11" s="5" t="s">
        <v>244</v>
      </c>
      <c r="N11" s="5" t="s">
        <v>244</v>
      </c>
      <c r="O11" s="5" t="s">
        <v>243</v>
      </c>
      <c r="P11" s="5" t="s">
        <v>243</v>
      </c>
      <c r="Q11" s="5" t="s">
        <v>244</v>
      </c>
      <c r="R11" s="38" t="s">
        <v>245</v>
      </c>
      <c r="S11" s="5" t="s">
        <v>244</v>
      </c>
      <c r="T11" s="5" t="s">
        <v>244</v>
      </c>
      <c r="U11" s="5" t="s">
        <v>244</v>
      </c>
      <c r="V11" s="5" t="s">
        <v>244</v>
      </c>
      <c r="W11" s="5" t="s">
        <v>244</v>
      </c>
      <c r="X11" s="5" t="s">
        <v>244</v>
      </c>
      <c r="Y11" s="38" t="s">
        <v>245</v>
      </c>
      <c r="Z11" s="5" t="s">
        <v>243</v>
      </c>
      <c r="AA11" s="5" t="s">
        <v>244</v>
      </c>
      <c r="AB11" s="5" t="s">
        <v>244</v>
      </c>
      <c r="AC11" s="5" t="s">
        <v>244</v>
      </c>
      <c r="AD11" s="5" t="s">
        <v>244</v>
      </c>
      <c r="AE11" s="5" t="s">
        <v>244</v>
      </c>
      <c r="AF11" s="38" t="s">
        <v>245</v>
      </c>
      <c r="AG11" s="5" t="s">
        <v>244</v>
      </c>
      <c r="AH11" s="5">
        <f t="shared" si="0"/>
        <v>20</v>
      </c>
      <c r="AI11" s="5">
        <f t="shared" si="1"/>
        <v>5</v>
      </c>
    </row>
    <row r="12" spans="1:35" x14ac:dyDescent="0.3">
      <c r="A12" t="s">
        <v>237</v>
      </c>
      <c r="B12" t="s">
        <v>124</v>
      </c>
      <c r="C12" t="s">
        <v>242</v>
      </c>
      <c r="D12" s="5" t="s">
        <v>244</v>
      </c>
      <c r="E12" s="38" t="s">
        <v>245</v>
      </c>
      <c r="F12" s="5" t="s">
        <v>244</v>
      </c>
      <c r="G12" s="5" t="s">
        <v>243</v>
      </c>
      <c r="H12" s="5" t="s">
        <v>244</v>
      </c>
      <c r="I12" s="5" t="s">
        <v>243</v>
      </c>
      <c r="J12" s="5" t="s">
        <v>244</v>
      </c>
      <c r="K12" s="38" t="s">
        <v>245</v>
      </c>
      <c r="L12" s="5" t="s">
        <v>244</v>
      </c>
      <c r="M12" s="5" t="s">
        <v>243</v>
      </c>
      <c r="N12" s="5" t="s">
        <v>244</v>
      </c>
      <c r="O12" s="5" t="s">
        <v>244</v>
      </c>
      <c r="P12" s="5" t="s">
        <v>243</v>
      </c>
      <c r="Q12" s="5" t="s">
        <v>244</v>
      </c>
      <c r="R12" s="38" t="s">
        <v>245</v>
      </c>
      <c r="S12" s="5" t="s">
        <v>244</v>
      </c>
      <c r="T12" s="5" t="s">
        <v>243</v>
      </c>
      <c r="U12" s="5" t="s">
        <v>243</v>
      </c>
      <c r="V12" s="5" t="s">
        <v>244</v>
      </c>
      <c r="W12" s="5" t="s">
        <v>244</v>
      </c>
      <c r="X12" s="5" t="s">
        <v>243</v>
      </c>
      <c r="Y12" s="38" t="s">
        <v>245</v>
      </c>
      <c r="Z12" s="5" t="s">
        <v>244</v>
      </c>
      <c r="AA12" s="5" t="s">
        <v>244</v>
      </c>
      <c r="AB12" s="5" t="s">
        <v>244</v>
      </c>
      <c r="AC12" s="5" t="s">
        <v>244</v>
      </c>
      <c r="AD12" s="5" t="s">
        <v>244</v>
      </c>
      <c r="AE12" s="5" t="s">
        <v>244</v>
      </c>
      <c r="AF12" s="38" t="s">
        <v>245</v>
      </c>
      <c r="AG12" s="5" t="s">
        <v>244</v>
      </c>
      <c r="AH12" s="5">
        <f t="shared" si="0"/>
        <v>18</v>
      </c>
      <c r="AI12" s="5">
        <f t="shared" si="1"/>
        <v>7</v>
      </c>
    </row>
    <row r="13" spans="1:35" x14ac:dyDescent="0.3">
      <c r="A13" t="s">
        <v>238</v>
      </c>
      <c r="B13" t="s">
        <v>86</v>
      </c>
      <c r="C13" t="s">
        <v>242</v>
      </c>
      <c r="D13" s="5" t="s">
        <v>244</v>
      </c>
      <c r="E13" s="38" t="s">
        <v>245</v>
      </c>
      <c r="F13" s="5" t="s">
        <v>244</v>
      </c>
      <c r="G13" s="5" t="s">
        <v>244</v>
      </c>
      <c r="H13" s="5" t="s">
        <v>244</v>
      </c>
      <c r="I13" s="5" t="s">
        <v>243</v>
      </c>
      <c r="J13" s="5" t="s">
        <v>243</v>
      </c>
      <c r="K13" s="38" t="s">
        <v>245</v>
      </c>
      <c r="L13" s="5" t="s">
        <v>244</v>
      </c>
      <c r="M13" s="5" t="s">
        <v>244</v>
      </c>
      <c r="N13" s="5" t="s">
        <v>244</v>
      </c>
      <c r="O13" s="5" t="s">
        <v>244</v>
      </c>
      <c r="P13" s="5" t="s">
        <v>244</v>
      </c>
      <c r="Q13" s="5" t="s">
        <v>244</v>
      </c>
      <c r="R13" s="38" t="s">
        <v>245</v>
      </c>
      <c r="S13" s="5" t="s">
        <v>243</v>
      </c>
      <c r="T13" s="5" t="s">
        <v>244</v>
      </c>
      <c r="U13" s="5" t="s">
        <v>243</v>
      </c>
      <c r="V13" s="5" t="s">
        <v>244</v>
      </c>
      <c r="W13" s="5" t="s">
        <v>244</v>
      </c>
      <c r="X13" s="5" t="s">
        <v>243</v>
      </c>
      <c r="Y13" s="38" t="s">
        <v>245</v>
      </c>
      <c r="Z13" s="5" t="s">
        <v>243</v>
      </c>
      <c r="AA13" s="5" t="s">
        <v>244</v>
      </c>
      <c r="AB13" s="5" t="s">
        <v>244</v>
      </c>
      <c r="AC13" s="5" t="s">
        <v>244</v>
      </c>
      <c r="AD13" s="5" t="s">
        <v>244</v>
      </c>
      <c r="AE13" s="5" t="s">
        <v>244</v>
      </c>
      <c r="AF13" s="38" t="s">
        <v>245</v>
      </c>
      <c r="AG13" s="5" t="s">
        <v>244</v>
      </c>
      <c r="AH13" s="5">
        <f t="shared" si="0"/>
        <v>19</v>
      </c>
      <c r="AI13" s="5">
        <f t="shared" si="1"/>
        <v>6</v>
      </c>
    </row>
    <row r="14" spans="1:35" x14ac:dyDescent="0.3">
      <c r="A14" t="s">
        <v>239</v>
      </c>
      <c r="B14" t="s">
        <v>80</v>
      </c>
      <c r="C14" t="s">
        <v>242</v>
      </c>
      <c r="D14" s="5" t="s">
        <v>244</v>
      </c>
      <c r="E14" s="38" t="s">
        <v>245</v>
      </c>
      <c r="F14" s="5" t="s">
        <v>243</v>
      </c>
      <c r="G14" s="5" t="s">
        <v>244</v>
      </c>
      <c r="H14" s="5" t="s">
        <v>244</v>
      </c>
      <c r="I14" s="5" t="s">
        <v>243</v>
      </c>
      <c r="J14" s="5" t="s">
        <v>244</v>
      </c>
      <c r="K14" s="38" t="s">
        <v>245</v>
      </c>
      <c r="L14" s="5" t="s">
        <v>244</v>
      </c>
      <c r="M14" s="5" t="s">
        <v>244</v>
      </c>
      <c r="N14" s="5" t="s">
        <v>244</v>
      </c>
      <c r="O14" s="5" t="s">
        <v>243</v>
      </c>
      <c r="P14" s="5" t="s">
        <v>244</v>
      </c>
      <c r="Q14" s="5" t="s">
        <v>243</v>
      </c>
      <c r="R14" s="38" t="s">
        <v>245</v>
      </c>
      <c r="S14" s="5" t="s">
        <v>244</v>
      </c>
      <c r="T14" s="5" t="s">
        <v>243</v>
      </c>
      <c r="U14" s="5" t="s">
        <v>243</v>
      </c>
      <c r="V14" s="5" t="s">
        <v>244</v>
      </c>
      <c r="W14" s="5" t="s">
        <v>244</v>
      </c>
      <c r="X14" s="5" t="s">
        <v>244</v>
      </c>
      <c r="Y14" s="38" t="s">
        <v>245</v>
      </c>
      <c r="Z14" s="5" t="s">
        <v>243</v>
      </c>
      <c r="AA14" s="5" t="s">
        <v>244</v>
      </c>
      <c r="AB14" s="5" t="s">
        <v>244</v>
      </c>
      <c r="AC14" s="5" t="s">
        <v>244</v>
      </c>
      <c r="AD14" s="5" t="s">
        <v>244</v>
      </c>
      <c r="AE14" s="5" t="s">
        <v>244</v>
      </c>
      <c r="AF14" s="38" t="s">
        <v>245</v>
      </c>
      <c r="AG14" s="5" t="s">
        <v>244</v>
      </c>
      <c r="AH14" s="5">
        <f t="shared" si="0"/>
        <v>18</v>
      </c>
      <c r="AI14" s="5">
        <f t="shared" si="1"/>
        <v>7</v>
      </c>
    </row>
  </sheetData>
  <phoneticPr fontId="2" type="noConversion"/>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D6AE1-AACE-4E3A-8DE0-249F67213EA3}">
  <dimension ref="A1:N16"/>
  <sheetViews>
    <sheetView topLeftCell="E1" workbookViewId="0">
      <selection activeCell="U25" sqref="U25"/>
    </sheetView>
  </sheetViews>
  <sheetFormatPr defaultRowHeight="14.4" x14ac:dyDescent="0.3"/>
  <cols>
    <col min="3" max="3" width="11.21875" bestFit="1" customWidth="1"/>
    <col min="4" max="4" width="10.6640625" bestFit="1" customWidth="1"/>
    <col min="6" max="6" width="17.88671875" bestFit="1" customWidth="1"/>
  </cols>
  <sheetData>
    <row r="1" spans="1:14" x14ac:dyDescent="0.3">
      <c r="A1" s="40" t="s">
        <v>232</v>
      </c>
      <c r="B1" s="40" t="s">
        <v>248</v>
      </c>
      <c r="C1" s="40" t="s">
        <v>249</v>
      </c>
      <c r="D1" s="40" t="s">
        <v>250</v>
      </c>
      <c r="E1" s="40" t="s">
        <v>179</v>
      </c>
      <c r="I1" s="40" t="s">
        <v>232</v>
      </c>
      <c r="J1" s="40" t="s">
        <v>248</v>
      </c>
      <c r="K1" s="40" t="s">
        <v>249</v>
      </c>
      <c r="L1" s="40" t="s">
        <v>250</v>
      </c>
      <c r="N1">
        <f t="shared" ref="N1:N16" si="0">COUNT(A1:M1)</f>
        <v>0</v>
      </c>
    </row>
    <row r="2" spans="1:14" x14ac:dyDescent="0.3">
      <c r="A2" t="s">
        <v>5</v>
      </c>
      <c r="B2" t="s">
        <v>257</v>
      </c>
      <c r="C2" t="s">
        <v>240</v>
      </c>
      <c r="D2">
        <v>50000</v>
      </c>
      <c r="I2" s="40" t="s">
        <v>232</v>
      </c>
      <c r="J2" s="40" t="s">
        <v>248</v>
      </c>
      <c r="K2" s="40" t="s">
        <v>249</v>
      </c>
      <c r="L2" s="40" t="s">
        <v>250</v>
      </c>
      <c r="N2">
        <f t="shared" si="0"/>
        <v>1</v>
      </c>
    </row>
    <row r="3" spans="1:14" x14ac:dyDescent="0.3">
      <c r="A3" t="s">
        <v>9</v>
      </c>
      <c r="B3" t="s">
        <v>258</v>
      </c>
      <c r="C3" t="s">
        <v>271</v>
      </c>
      <c r="D3">
        <v>600000</v>
      </c>
      <c r="I3" t="s">
        <v>5</v>
      </c>
      <c r="J3" t="s">
        <v>257</v>
      </c>
      <c r="K3" t="s">
        <v>240</v>
      </c>
      <c r="L3">
        <v>50000</v>
      </c>
      <c r="M3" s="41">
        <f t="shared" ref="I3:M16" si="1">SUM(K3:L3)/SUM($K$3:$L$16)</f>
        <v>2.8551377346994596E-2</v>
      </c>
      <c r="N3">
        <f t="shared" si="0"/>
        <v>3</v>
      </c>
    </row>
    <row r="4" spans="1:14" x14ac:dyDescent="0.3">
      <c r="A4" t="s">
        <v>7</v>
      </c>
      <c r="B4" t="s">
        <v>259</v>
      </c>
      <c r="C4" t="s">
        <v>271</v>
      </c>
      <c r="D4">
        <v>300000</v>
      </c>
      <c r="E4" t="s">
        <v>9</v>
      </c>
      <c r="F4" t="s">
        <v>258</v>
      </c>
      <c r="G4" t="s">
        <v>271</v>
      </c>
      <c r="H4">
        <v>600000</v>
      </c>
      <c r="I4" s="41">
        <f t="shared" si="1"/>
        <v>0.34261652816393517</v>
      </c>
      <c r="N4">
        <f t="shared" si="0"/>
        <v>3</v>
      </c>
    </row>
    <row r="5" spans="1:14" x14ac:dyDescent="0.3">
      <c r="A5" t="s">
        <v>251</v>
      </c>
      <c r="B5" t="s">
        <v>260</v>
      </c>
      <c r="C5" t="s">
        <v>271</v>
      </c>
      <c r="D5">
        <v>230000</v>
      </c>
      <c r="I5" t="s">
        <v>7</v>
      </c>
      <c r="J5" t="s">
        <v>259</v>
      </c>
      <c r="K5" t="s">
        <v>271</v>
      </c>
      <c r="L5">
        <v>300000</v>
      </c>
      <c r="M5" s="41">
        <f t="shared" si="1"/>
        <v>0.17130826408196759</v>
      </c>
      <c r="N5">
        <f t="shared" si="0"/>
        <v>3</v>
      </c>
    </row>
    <row r="6" spans="1:14" x14ac:dyDescent="0.3">
      <c r="A6" t="s">
        <v>86</v>
      </c>
      <c r="B6" t="s">
        <v>261</v>
      </c>
      <c r="C6" t="s">
        <v>242</v>
      </c>
      <c r="D6">
        <v>350000</v>
      </c>
      <c r="F6" s="39" t="s">
        <v>272</v>
      </c>
      <c r="G6" s="39" t="s">
        <v>9</v>
      </c>
      <c r="H6">
        <f>VLOOKUP(G6,$A$1:$D$15,4,FALSE)</f>
        <v>600000</v>
      </c>
      <c r="I6" t="s">
        <v>251</v>
      </c>
      <c r="J6" t="s">
        <v>260</v>
      </c>
      <c r="K6" t="s">
        <v>271</v>
      </c>
      <c r="L6">
        <v>230000</v>
      </c>
      <c r="M6" s="41">
        <f t="shared" si="1"/>
        <v>0.13133633579617515</v>
      </c>
      <c r="N6">
        <f t="shared" si="0"/>
        <v>4</v>
      </c>
    </row>
    <row r="7" spans="1:14" x14ac:dyDescent="0.3">
      <c r="A7" t="s">
        <v>80</v>
      </c>
      <c r="B7" t="s">
        <v>262</v>
      </c>
      <c r="C7" t="s">
        <v>242</v>
      </c>
      <c r="D7">
        <v>66800</v>
      </c>
      <c r="I7" t="s">
        <v>86</v>
      </c>
      <c r="J7" t="s">
        <v>261</v>
      </c>
      <c r="K7" t="s">
        <v>242</v>
      </c>
      <c r="L7">
        <v>350000</v>
      </c>
      <c r="M7" s="41">
        <f t="shared" si="1"/>
        <v>0.19985964142896218</v>
      </c>
      <c r="N7">
        <f t="shared" si="0"/>
        <v>3</v>
      </c>
    </row>
    <row r="8" spans="1:14" x14ac:dyDescent="0.3">
      <c r="A8" t="s">
        <v>252</v>
      </c>
      <c r="B8" t="s">
        <v>263</v>
      </c>
      <c r="C8" t="s">
        <v>242</v>
      </c>
      <c r="D8">
        <v>55768</v>
      </c>
      <c r="I8" t="s">
        <v>80</v>
      </c>
      <c r="J8" t="s">
        <v>262</v>
      </c>
      <c r="K8" t="s">
        <v>242</v>
      </c>
      <c r="L8">
        <v>66800</v>
      </c>
      <c r="M8" s="41">
        <f t="shared" si="1"/>
        <v>3.814464013558478E-2</v>
      </c>
      <c r="N8">
        <f t="shared" si="0"/>
        <v>3</v>
      </c>
    </row>
    <row r="9" spans="1:14" x14ac:dyDescent="0.3">
      <c r="A9" t="s">
        <v>77</v>
      </c>
      <c r="B9" t="s">
        <v>264</v>
      </c>
      <c r="C9" t="s">
        <v>242</v>
      </c>
      <c r="D9">
        <v>555560</v>
      </c>
      <c r="I9" t="s">
        <v>252</v>
      </c>
      <c r="J9" t="s">
        <v>263</v>
      </c>
      <c r="K9" t="s">
        <v>242</v>
      </c>
      <c r="L9">
        <v>55768</v>
      </c>
      <c r="M9" s="41">
        <f t="shared" si="1"/>
        <v>3.1845064237743893E-2</v>
      </c>
      <c r="N9">
        <f t="shared" si="0"/>
        <v>3</v>
      </c>
    </row>
    <row r="10" spans="1:14" x14ac:dyDescent="0.3">
      <c r="A10" t="s">
        <v>72</v>
      </c>
      <c r="B10" t="s">
        <v>265</v>
      </c>
      <c r="C10" t="s">
        <v>242</v>
      </c>
      <c r="D10">
        <v>57878</v>
      </c>
      <c r="I10" t="s">
        <v>77</v>
      </c>
      <c r="J10" t="s">
        <v>264</v>
      </c>
      <c r="K10" t="s">
        <v>242</v>
      </c>
      <c r="L10">
        <v>555560</v>
      </c>
      <c r="M10" s="41">
        <f t="shared" si="1"/>
        <v>0.31724006397792637</v>
      </c>
      <c r="N10">
        <f t="shared" si="0"/>
        <v>3</v>
      </c>
    </row>
    <row r="11" spans="1:14" x14ac:dyDescent="0.3">
      <c r="A11" t="s">
        <v>253</v>
      </c>
      <c r="B11" t="s">
        <v>266</v>
      </c>
      <c r="C11" t="s">
        <v>242</v>
      </c>
      <c r="D11">
        <v>45889</v>
      </c>
      <c r="I11" t="s">
        <v>72</v>
      </c>
      <c r="J11" t="s">
        <v>265</v>
      </c>
      <c r="K11" t="s">
        <v>242</v>
      </c>
      <c r="L11">
        <v>57878</v>
      </c>
      <c r="M11" s="41">
        <f t="shared" si="1"/>
        <v>3.3049932361787063E-2</v>
      </c>
      <c r="N11">
        <f t="shared" si="0"/>
        <v>3</v>
      </c>
    </row>
    <row r="12" spans="1:14" x14ac:dyDescent="0.3">
      <c r="A12" t="s">
        <v>124</v>
      </c>
      <c r="B12" t="s">
        <v>267</v>
      </c>
      <c r="C12" t="s">
        <v>242</v>
      </c>
      <c r="D12">
        <v>588</v>
      </c>
      <c r="I12" t="s">
        <v>253</v>
      </c>
      <c r="J12" t="s">
        <v>266</v>
      </c>
      <c r="K12" t="s">
        <v>242</v>
      </c>
      <c r="L12">
        <v>45889</v>
      </c>
      <c r="M12" s="41">
        <f t="shared" si="1"/>
        <v>2.6203883101524699E-2</v>
      </c>
      <c r="N12">
        <f t="shared" si="0"/>
        <v>3</v>
      </c>
    </row>
    <row r="13" spans="1:14" x14ac:dyDescent="0.3">
      <c r="A13" t="s">
        <v>254</v>
      </c>
      <c r="B13" t="s">
        <v>268</v>
      </c>
      <c r="C13" t="s">
        <v>242</v>
      </c>
      <c r="D13">
        <v>443</v>
      </c>
      <c r="I13" t="s">
        <v>124</v>
      </c>
      <c r="J13" t="s">
        <v>267</v>
      </c>
      <c r="K13" t="s">
        <v>242</v>
      </c>
      <c r="L13">
        <v>588</v>
      </c>
      <c r="M13" s="41">
        <f t="shared" si="1"/>
        <v>3.3576419760065644E-4</v>
      </c>
      <c r="N13">
        <f t="shared" si="0"/>
        <v>3</v>
      </c>
    </row>
    <row r="14" spans="1:14" x14ac:dyDescent="0.3">
      <c r="A14" t="s">
        <v>255</v>
      </c>
      <c r="B14" t="s">
        <v>269</v>
      </c>
      <c r="C14" t="s">
        <v>242</v>
      </c>
      <c r="D14">
        <v>525</v>
      </c>
      <c r="I14" t="s">
        <v>254</v>
      </c>
      <c r="J14" t="s">
        <v>268</v>
      </c>
      <c r="K14" t="s">
        <v>242</v>
      </c>
      <c r="L14">
        <v>443</v>
      </c>
      <c r="M14" s="41">
        <f t="shared" si="1"/>
        <v>2.5296520329437213E-4</v>
      </c>
      <c r="N14">
        <f t="shared" si="0"/>
        <v>3</v>
      </c>
    </row>
    <row r="15" spans="1:14" x14ac:dyDescent="0.3">
      <c r="A15" t="s">
        <v>256</v>
      </c>
      <c r="B15" t="s">
        <v>270</v>
      </c>
      <c r="C15" t="s">
        <v>242</v>
      </c>
      <c r="D15">
        <v>37778</v>
      </c>
      <c r="I15" t="s">
        <v>255</v>
      </c>
      <c r="J15" t="s">
        <v>269</v>
      </c>
      <c r="K15" t="s">
        <v>242</v>
      </c>
      <c r="L15">
        <v>525</v>
      </c>
      <c r="M15" s="41">
        <f t="shared" si="1"/>
        <v>2.9978946214344326E-4</v>
      </c>
      <c r="N15">
        <f t="shared" si="0"/>
        <v>3</v>
      </c>
    </row>
    <row r="16" spans="1:14" x14ac:dyDescent="0.3">
      <c r="I16" t="s">
        <v>256</v>
      </c>
      <c r="J16" t="s">
        <v>270</v>
      </c>
      <c r="K16" t="s">
        <v>242</v>
      </c>
      <c r="L16">
        <v>37778</v>
      </c>
      <c r="M16" s="41">
        <f t="shared" si="1"/>
        <v>2.1572278668295239E-2</v>
      </c>
      <c r="N16">
        <f t="shared" si="0"/>
        <v>2</v>
      </c>
    </row>
  </sheetData>
  <sortState xmlns:xlrd2="http://schemas.microsoft.com/office/spreadsheetml/2017/richdata2" ref="N1:N16">
    <sortCondition descending="1" ref="N1:N16"/>
  </sortState>
  <phoneticPr fontId="2" type="noConversion"/>
  <conditionalFormatting sqref="F4:H4 J3:L3 J5:L16">
    <cfRule type="dataBar" priority="1">
      <dataBar>
        <cfvo type="min"/>
        <cfvo type="max"/>
        <color rgb="FF638EC6"/>
      </dataBar>
      <extLst>
        <ext xmlns:x14="http://schemas.microsoft.com/office/spreadsheetml/2009/9/main" uri="{B025F937-C7B1-47D3-B67F-A62EFF666E3E}">
          <x14:id>{4D0E887D-4FAA-4195-8F8A-7412E115DB60}</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4D0E887D-4FAA-4195-8F8A-7412E115DB60}">
            <x14:dataBar minLength="0" maxLength="100" gradient="0">
              <x14:cfvo type="autoMin"/>
              <x14:cfvo type="autoMax"/>
              <x14:negativeFillColor rgb="FFFF0000"/>
              <x14:axisColor rgb="FF000000"/>
            </x14:dataBar>
          </x14:cfRule>
          <xm:sqref>F4:H4 J3:L3 J5:L16</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57AA0-9A49-40D1-B73D-685C3F7D3FB6}">
  <dimension ref="A3:L14"/>
  <sheetViews>
    <sheetView tabSelected="1" workbookViewId="0">
      <selection activeCell="K8" sqref="K8"/>
    </sheetView>
  </sheetViews>
  <sheetFormatPr defaultRowHeight="14.4" x14ac:dyDescent="0.3"/>
  <cols>
    <col min="1" max="1" width="12.44140625" bestFit="1" customWidth="1"/>
    <col min="2" max="3" width="17.88671875" bestFit="1" customWidth="1"/>
    <col min="4" max="4" width="12.44140625" bestFit="1" customWidth="1"/>
    <col min="5" max="5" width="17.88671875" bestFit="1" customWidth="1"/>
    <col min="7" max="7" width="12.44140625" bestFit="1" customWidth="1"/>
    <col min="8" max="8" width="17.88671875" bestFit="1" customWidth="1"/>
    <col min="11" max="11" width="12.44140625" bestFit="1" customWidth="1"/>
    <col min="12" max="13" width="17.21875" bestFit="1" customWidth="1"/>
  </cols>
  <sheetData>
    <row r="3" spans="1:12" x14ac:dyDescent="0.3">
      <c r="A3" s="29" t="s">
        <v>217</v>
      </c>
      <c r="B3" t="s">
        <v>219</v>
      </c>
      <c r="D3" s="29" t="s">
        <v>217</v>
      </c>
      <c r="E3" t="s">
        <v>219</v>
      </c>
      <c r="G3" s="29" t="s">
        <v>217</v>
      </c>
      <c r="H3" t="s">
        <v>219</v>
      </c>
    </row>
    <row r="4" spans="1:12" x14ac:dyDescent="0.3">
      <c r="A4" s="30" t="s">
        <v>218</v>
      </c>
      <c r="B4" s="45"/>
      <c r="D4" s="30" t="s">
        <v>218</v>
      </c>
      <c r="E4" s="44"/>
      <c r="G4" s="30" t="s">
        <v>218</v>
      </c>
      <c r="H4" s="45"/>
      <c r="K4" s="29" t="s">
        <v>217</v>
      </c>
      <c r="L4" t="s">
        <v>344</v>
      </c>
    </row>
    <row r="5" spans="1:12" x14ac:dyDescent="0.3">
      <c r="K5" s="30" t="s">
        <v>333</v>
      </c>
      <c r="L5">
        <v>164</v>
      </c>
    </row>
    <row r="6" spans="1:12" x14ac:dyDescent="0.3">
      <c r="K6" s="30" t="s">
        <v>332</v>
      </c>
      <c r="L6">
        <v>73</v>
      </c>
    </row>
    <row r="7" spans="1:12" x14ac:dyDescent="0.3">
      <c r="K7" s="30" t="s">
        <v>334</v>
      </c>
      <c r="L7">
        <v>76</v>
      </c>
    </row>
    <row r="8" spans="1:12" x14ac:dyDescent="0.3">
      <c r="K8" s="30" t="s">
        <v>336</v>
      </c>
      <c r="L8">
        <v>28</v>
      </c>
    </row>
    <row r="9" spans="1:12" x14ac:dyDescent="0.3">
      <c r="K9" s="30" t="s">
        <v>338</v>
      </c>
      <c r="L9">
        <v>85</v>
      </c>
    </row>
    <row r="10" spans="1:12" x14ac:dyDescent="0.3">
      <c r="K10" s="30" t="s">
        <v>335</v>
      </c>
      <c r="L10">
        <v>27</v>
      </c>
    </row>
    <row r="11" spans="1:12" x14ac:dyDescent="0.3">
      <c r="K11" s="30" t="s">
        <v>10</v>
      </c>
      <c r="L11">
        <v>144</v>
      </c>
    </row>
    <row r="12" spans="1:12" x14ac:dyDescent="0.3">
      <c r="K12" s="30" t="s">
        <v>337</v>
      </c>
      <c r="L12">
        <v>123</v>
      </c>
    </row>
    <row r="13" spans="1:12" x14ac:dyDescent="0.3">
      <c r="K13" s="30" t="s">
        <v>331</v>
      </c>
      <c r="L13">
        <v>130</v>
      </c>
    </row>
    <row r="14" spans="1:12" x14ac:dyDescent="0.3">
      <c r="E14" s="44"/>
      <c r="K14" s="30" t="s">
        <v>218</v>
      </c>
      <c r="L14">
        <v>850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690CC-EE70-46F0-9396-F8F998F59DB9}">
  <dimension ref="J13"/>
  <sheetViews>
    <sheetView showGridLines="0" showRowColHeaders="0" workbookViewId="0">
      <selection activeCell="W39" sqref="W39"/>
    </sheetView>
  </sheetViews>
  <sheetFormatPr defaultRowHeight="14.4" x14ac:dyDescent="0.3"/>
  <sheetData>
    <row r="13" spans="10:10" x14ac:dyDescent="0.3">
      <c r="J13" t="s">
        <v>345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20472-3E6D-4BC0-894D-812D38774184}">
  <dimension ref="A1:K22"/>
  <sheetViews>
    <sheetView workbookViewId="0">
      <selection activeCell="D11" sqref="D11"/>
    </sheetView>
  </sheetViews>
  <sheetFormatPr defaultRowHeight="14.4" x14ac:dyDescent="0.3"/>
  <cols>
    <col min="1" max="1" width="10.33203125" bestFit="1" customWidth="1"/>
    <col min="2" max="2" width="15.44140625" customWidth="1"/>
    <col min="3" max="3" width="9.5546875" customWidth="1"/>
    <col min="4" max="4" width="11" customWidth="1"/>
    <col min="5" max="5" width="12.88671875" customWidth="1"/>
    <col min="6" max="6" width="12.5546875" customWidth="1"/>
    <col min="7" max="7" width="16.77734375" customWidth="1"/>
    <col min="8" max="8" width="13.5546875" customWidth="1"/>
    <col min="10" max="11" width="14.21875" bestFit="1" customWidth="1"/>
  </cols>
  <sheetData>
    <row r="1" spans="1:11" x14ac:dyDescent="0.3">
      <c r="A1" s="43" t="s">
        <v>310</v>
      </c>
      <c r="B1" s="43" t="s">
        <v>311</v>
      </c>
      <c r="C1" s="43" t="s">
        <v>212</v>
      </c>
      <c r="D1" s="43" t="s">
        <v>312</v>
      </c>
      <c r="E1" s="43" t="s">
        <v>313</v>
      </c>
      <c r="F1" s="43" t="s">
        <v>314</v>
      </c>
      <c r="G1" s="43" t="s">
        <v>315</v>
      </c>
      <c r="H1" s="43" t="s">
        <v>213</v>
      </c>
      <c r="I1" s="43" t="s">
        <v>343</v>
      </c>
      <c r="J1" s="43"/>
      <c r="K1" s="43" t="s">
        <v>339</v>
      </c>
    </row>
    <row r="2" spans="1:11" x14ac:dyDescent="0.3">
      <c r="A2" s="26">
        <v>45658</v>
      </c>
      <c r="B2" t="s">
        <v>122</v>
      </c>
      <c r="C2" t="s">
        <v>327</v>
      </c>
      <c r="D2" t="s">
        <v>331</v>
      </c>
      <c r="E2">
        <v>84</v>
      </c>
      <c r="F2">
        <v>6000</v>
      </c>
      <c r="G2">
        <v>4000</v>
      </c>
      <c r="H2">
        <v>100000</v>
      </c>
      <c r="I2">
        <f>H2-(G2*E2)</f>
        <v>-236000</v>
      </c>
      <c r="K2">
        <f>SUM(H2:H22)</f>
        <v>977124</v>
      </c>
    </row>
    <row r="3" spans="1:11" x14ac:dyDescent="0.3">
      <c r="A3" s="26">
        <v>45659</v>
      </c>
      <c r="B3" t="s">
        <v>9</v>
      </c>
      <c r="C3" t="s">
        <v>328</v>
      </c>
      <c r="D3" t="s">
        <v>332</v>
      </c>
      <c r="E3">
        <v>33</v>
      </c>
      <c r="F3">
        <v>3500</v>
      </c>
      <c r="G3">
        <v>2000</v>
      </c>
      <c r="H3">
        <v>12213</v>
      </c>
      <c r="I3">
        <f t="shared" ref="I3:I22" si="0">H3-(G3*E3)</f>
        <v>-53787</v>
      </c>
      <c r="K3" s="43" t="s">
        <v>340</v>
      </c>
    </row>
    <row r="4" spans="1:11" x14ac:dyDescent="0.3">
      <c r="A4" s="26">
        <v>45660</v>
      </c>
      <c r="B4" t="s">
        <v>7</v>
      </c>
      <c r="C4" t="s">
        <v>329</v>
      </c>
      <c r="D4" t="s">
        <v>333</v>
      </c>
      <c r="E4">
        <v>54</v>
      </c>
      <c r="F4">
        <v>7000</v>
      </c>
      <c r="G4">
        <v>4356</v>
      </c>
      <c r="H4">
        <v>43536</v>
      </c>
      <c r="I4">
        <f t="shared" si="0"/>
        <v>-191688</v>
      </c>
      <c r="K4">
        <f>SUM(E2:E22)</f>
        <v>850</v>
      </c>
    </row>
    <row r="5" spans="1:11" x14ac:dyDescent="0.3">
      <c r="A5" s="26">
        <v>45661</v>
      </c>
      <c r="B5" t="s">
        <v>123</v>
      </c>
      <c r="C5" t="s">
        <v>330</v>
      </c>
      <c r="D5" t="s">
        <v>334</v>
      </c>
      <c r="E5">
        <v>32</v>
      </c>
      <c r="F5">
        <v>1500</v>
      </c>
      <c r="G5">
        <v>7654</v>
      </c>
      <c r="H5">
        <v>2455</v>
      </c>
      <c r="I5">
        <f t="shared" si="0"/>
        <v>-242473</v>
      </c>
      <c r="K5" s="43" t="s">
        <v>341</v>
      </c>
    </row>
    <row r="6" spans="1:11" x14ac:dyDescent="0.3">
      <c r="A6" s="26">
        <v>45662</v>
      </c>
      <c r="B6" t="s">
        <v>124</v>
      </c>
      <c r="C6" t="s">
        <v>327</v>
      </c>
      <c r="D6" t="s">
        <v>335</v>
      </c>
      <c r="E6">
        <v>24</v>
      </c>
      <c r="F6">
        <v>2300</v>
      </c>
      <c r="G6">
        <v>2456</v>
      </c>
      <c r="H6">
        <v>53984</v>
      </c>
      <c r="I6">
        <f t="shared" si="0"/>
        <v>-4960</v>
      </c>
      <c r="K6">
        <f>SUM(I2:I22)</f>
        <v>-3891548</v>
      </c>
    </row>
    <row r="7" spans="1:11" x14ac:dyDescent="0.3">
      <c r="A7" s="26">
        <v>45663</v>
      </c>
      <c r="B7" t="s">
        <v>64</v>
      </c>
      <c r="C7" t="s">
        <v>328</v>
      </c>
      <c r="D7" t="s">
        <v>336</v>
      </c>
      <c r="E7">
        <v>23</v>
      </c>
      <c r="F7">
        <v>3500</v>
      </c>
      <c r="G7">
        <v>7886</v>
      </c>
      <c r="H7">
        <v>3235</v>
      </c>
      <c r="I7">
        <f t="shared" si="0"/>
        <v>-178143</v>
      </c>
      <c r="K7" s="43" t="s">
        <v>342</v>
      </c>
    </row>
    <row r="8" spans="1:11" x14ac:dyDescent="0.3">
      <c r="A8" s="26">
        <v>45664</v>
      </c>
      <c r="B8" t="s">
        <v>72</v>
      </c>
      <c r="C8" t="s">
        <v>329</v>
      </c>
      <c r="D8" t="s">
        <v>337</v>
      </c>
      <c r="E8">
        <v>56</v>
      </c>
      <c r="F8">
        <v>7800</v>
      </c>
      <c r="G8">
        <v>6542</v>
      </c>
      <c r="H8">
        <v>3556</v>
      </c>
      <c r="I8">
        <f t="shared" si="0"/>
        <v>-362796</v>
      </c>
      <c r="K8">
        <f>AVERAGE(H2:H22)</f>
        <v>46529.714285714283</v>
      </c>
    </row>
    <row r="9" spans="1:11" x14ac:dyDescent="0.3">
      <c r="A9" s="26">
        <v>45665</v>
      </c>
      <c r="B9" t="s">
        <v>63</v>
      </c>
      <c r="C9" t="s">
        <v>330</v>
      </c>
      <c r="D9" t="s">
        <v>10</v>
      </c>
      <c r="E9">
        <v>67</v>
      </c>
      <c r="F9">
        <v>6578</v>
      </c>
      <c r="G9">
        <v>5689</v>
      </c>
      <c r="H9">
        <v>46453</v>
      </c>
      <c r="I9">
        <f t="shared" si="0"/>
        <v>-334710</v>
      </c>
    </row>
    <row r="10" spans="1:11" x14ac:dyDescent="0.3">
      <c r="A10" s="26">
        <v>45666</v>
      </c>
      <c r="B10" t="s">
        <v>65</v>
      </c>
      <c r="C10" t="s">
        <v>327</v>
      </c>
      <c r="D10" t="s">
        <v>338</v>
      </c>
      <c r="E10">
        <v>77</v>
      </c>
      <c r="F10">
        <v>9272</v>
      </c>
      <c r="G10">
        <v>8076</v>
      </c>
      <c r="H10">
        <v>8381</v>
      </c>
      <c r="I10">
        <f t="shared" si="0"/>
        <v>-613471</v>
      </c>
    </row>
    <row r="11" spans="1:11" x14ac:dyDescent="0.3">
      <c r="A11" s="26">
        <v>45667</v>
      </c>
      <c r="B11" t="s">
        <v>316</v>
      </c>
      <c r="C11" t="s">
        <v>328</v>
      </c>
      <c r="D11" t="s">
        <v>331</v>
      </c>
      <c r="E11">
        <v>8</v>
      </c>
      <c r="F11">
        <v>3830</v>
      </c>
      <c r="G11">
        <v>5632</v>
      </c>
      <c r="H11">
        <v>65637</v>
      </c>
      <c r="I11">
        <f t="shared" si="0"/>
        <v>20581</v>
      </c>
    </row>
    <row r="12" spans="1:11" x14ac:dyDescent="0.3">
      <c r="A12" s="26">
        <v>45668</v>
      </c>
      <c r="B12" t="s">
        <v>127</v>
      </c>
      <c r="C12" t="s">
        <v>329</v>
      </c>
      <c r="D12" t="s">
        <v>332</v>
      </c>
      <c r="E12">
        <v>6</v>
      </c>
      <c r="F12">
        <v>4849</v>
      </c>
      <c r="G12">
        <v>7742</v>
      </c>
      <c r="H12">
        <v>3719</v>
      </c>
      <c r="I12">
        <f t="shared" si="0"/>
        <v>-42733</v>
      </c>
    </row>
    <row r="13" spans="1:11" x14ac:dyDescent="0.3">
      <c r="A13" s="26">
        <v>45669</v>
      </c>
      <c r="B13" t="s">
        <v>317</v>
      </c>
      <c r="C13" t="s">
        <v>330</v>
      </c>
      <c r="D13" t="s">
        <v>333</v>
      </c>
      <c r="E13">
        <v>75</v>
      </c>
      <c r="F13">
        <v>4850</v>
      </c>
      <c r="G13">
        <v>7998</v>
      </c>
      <c r="H13">
        <v>3170</v>
      </c>
      <c r="I13">
        <f t="shared" si="0"/>
        <v>-596680</v>
      </c>
    </row>
    <row r="14" spans="1:11" x14ac:dyDescent="0.3">
      <c r="A14" s="26">
        <v>45670</v>
      </c>
      <c r="B14" t="s">
        <v>318</v>
      </c>
      <c r="C14" t="s">
        <v>327</v>
      </c>
      <c r="D14" t="s">
        <v>334</v>
      </c>
      <c r="E14">
        <v>44</v>
      </c>
      <c r="F14">
        <v>4851</v>
      </c>
      <c r="G14">
        <v>2153</v>
      </c>
      <c r="H14">
        <v>4849</v>
      </c>
      <c r="I14">
        <f t="shared" si="0"/>
        <v>-89883</v>
      </c>
    </row>
    <row r="15" spans="1:11" x14ac:dyDescent="0.3">
      <c r="A15" s="26">
        <v>45671</v>
      </c>
      <c r="B15" t="s">
        <v>319</v>
      </c>
      <c r="C15" t="s">
        <v>328</v>
      </c>
      <c r="D15" t="s">
        <v>335</v>
      </c>
      <c r="E15">
        <v>3</v>
      </c>
      <c r="F15">
        <v>4852</v>
      </c>
      <c r="G15">
        <v>6400</v>
      </c>
      <c r="H15">
        <v>2173</v>
      </c>
      <c r="I15">
        <f t="shared" si="0"/>
        <v>-17027</v>
      </c>
    </row>
    <row r="16" spans="1:11" x14ac:dyDescent="0.3">
      <c r="A16" s="26">
        <v>45672</v>
      </c>
      <c r="B16" t="s">
        <v>320</v>
      </c>
      <c r="C16" t="s">
        <v>329</v>
      </c>
      <c r="D16" t="s">
        <v>336</v>
      </c>
      <c r="E16">
        <v>5</v>
      </c>
      <c r="F16">
        <v>4853</v>
      </c>
      <c r="G16">
        <v>4245</v>
      </c>
      <c r="H16">
        <v>317883</v>
      </c>
      <c r="I16">
        <f t="shared" si="0"/>
        <v>296658</v>
      </c>
    </row>
    <row r="17" spans="1:9" x14ac:dyDescent="0.3">
      <c r="A17" s="26">
        <v>45673</v>
      </c>
      <c r="B17" t="s">
        <v>321</v>
      </c>
      <c r="C17" t="s">
        <v>330</v>
      </c>
      <c r="D17" t="s">
        <v>337</v>
      </c>
      <c r="E17">
        <v>67</v>
      </c>
      <c r="F17">
        <v>4854</v>
      </c>
      <c r="G17">
        <v>5632</v>
      </c>
      <c r="H17">
        <v>183900</v>
      </c>
      <c r="I17">
        <f t="shared" si="0"/>
        <v>-193444</v>
      </c>
    </row>
    <row r="18" spans="1:9" x14ac:dyDescent="0.3">
      <c r="A18" s="26">
        <v>45674</v>
      </c>
      <c r="B18" t="s">
        <v>322</v>
      </c>
      <c r="C18" t="s">
        <v>327</v>
      </c>
      <c r="D18" t="s">
        <v>10</v>
      </c>
      <c r="E18">
        <v>77</v>
      </c>
      <c r="F18">
        <v>4855</v>
      </c>
      <c r="G18">
        <v>5676</v>
      </c>
      <c r="H18">
        <v>44444</v>
      </c>
      <c r="I18">
        <f t="shared" si="0"/>
        <v>-392608</v>
      </c>
    </row>
    <row r="19" spans="1:9" x14ac:dyDescent="0.3">
      <c r="A19" s="26">
        <v>45675</v>
      </c>
      <c r="B19" t="s">
        <v>323</v>
      </c>
      <c r="C19" t="s">
        <v>328</v>
      </c>
      <c r="D19" t="s">
        <v>338</v>
      </c>
      <c r="E19">
        <v>8</v>
      </c>
      <c r="F19">
        <v>4856</v>
      </c>
      <c r="G19">
        <v>5622</v>
      </c>
      <c r="H19">
        <v>535</v>
      </c>
      <c r="I19">
        <f t="shared" si="0"/>
        <v>-44441</v>
      </c>
    </row>
    <row r="20" spans="1:9" x14ac:dyDescent="0.3">
      <c r="A20" s="26">
        <v>45676</v>
      </c>
      <c r="B20" t="s">
        <v>324</v>
      </c>
      <c r="C20" t="s">
        <v>329</v>
      </c>
      <c r="D20" t="s">
        <v>331</v>
      </c>
      <c r="E20">
        <v>38</v>
      </c>
      <c r="F20">
        <v>4857</v>
      </c>
      <c r="G20">
        <v>6462</v>
      </c>
      <c r="H20">
        <v>25666</v>
      </c>
      <c r="I20">
        <f t="shared" si="0"/>
        <v>-219890</v>
      </c>
    </row>
    <row r="21" spans="1:9" x14ac:dyDescent="0.3">
      <c r="A21" s="26">
        <v>45677</v>
      </c>
      <c r="B21" t="s">
        <v>325</v>
      </c>
      <c r="C21" t="s">
        <v>330</v>
      </c>
      <c r="D21" t="s">
        <v>332</v>
      </c>
      <c r="E21">
        <v>34</v>
      </c>
      <c r="F21">
        <v>4858</v>
      </c>
      <c r="G21">
        <v>5447</v>
      </c>
      <c r="H21">
        <v>25667</v>
      </c>
      <c r="I21">
        <f t="shared" si="0"/>
        <v>-159531</v>
      </c>
    </row>
    <row r="22" spans="1:9" x14ac:dyDescent="0.3">
      <c r="A22" s="26">
        <v>45678</v>
      </c>
      <c r="B22" t="s">
        <v>326</v>
      </c>
      <c r="C22" t="s">
        <v>327</v>
      </c>
      <c r="D22" t="s">
        <v>333</v>
      </c>
      <c r="E22">
        <v>35</v>
      </c>
      <c r="F22">
        <v>4859</v>
      </c>
      <c r="G22">
        <v>7434</v>
      </c>
      <c r="H22">
        <v>25668</v>
      </c>
      <c r="I22">
        <f t="shared" si="0"/>
        <v>-234522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C150B09-D10A-45B4-8402-0331E24B293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intro vedio 1</vt:lpstr>
      <vt:lpstr>cellreference, v2</vt:lpstr>
      <vt:lpstr>Add Leading Zeros, v3</vt:lpstr>
      <vt:lpstr>separate first name and last na</vt:lpstr>
      <vt:lpstr>Textjoint func ,v4</vt:lpstr>
      <vt:lpstr>Basic func ,v5</vt:lpstr>
      <vt:lpstr>Average func,v6</vt:lpstr>
      <vt:lpstr>Drop Down List,v7</vt:lpstr>
      <vt:lpstr>Conditional Formatting,v8</vt:lpstr>
      <vt:lpstr>advance Filter ,v11</vt:lpstr>
      <vt:lpstr>Data Validation,v12</vt:lpstr>
      <vt:lpstr>Chart,v13</vt:lpstr>
      <vt:lpstr>recommanded pivot table</vt:lpstr>
      <vt:lpstr>pivot table,v14</vt:lpstr>
      <vt:lpstr>small &amp; large func,v17</vt:lpstr>
      <vt:lpstr>countif,v18</vt:lpstr>
      <vt:lpstr>VLOOKUP&amp;HLOOKUP,V19</vt:lpstr>
      <vt:lpstr>dash priv table</vt:lpstr>
      <vt:lpstr>DASHBOARD</vt:lpstr>
      <vt:lpstr>try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SHANKAR P</dc:creator>
  <cp:lastModifiedBy>SHANKAR P</cp:lastModifiedBy>
  <dcterms:created xsi:type="dcterms:W3CDTF">2025-09-28T13:42:12Z</dcterms:created>
  <dcterms:modified xsi:type="dcterms:W3CDTF">2025-10-06T19:18:51Z</dcterms:modified>
</cp:coreProperties>
</file>